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ead me" sheetId="1" state="visible" r:id="rId3"/>
    <sheet name="Artifacts" sheetId="2" state="visible" r:id="rId4"/>
    <sheet name="Section summary" sheetId="3" state="visible" r:id="rId5"/>
    <sheet name="Places" sheetId="4" state="visible" r:id="rId6"/>
    <sheet name="Films" sheetId="5" state="visible" r:id="rId7"/>
    <sheet name="Countries" sheetId="6" state="visible" r:id="rId8"/>
    <sheet name="Profile" sheetId="7" state="visible" r:id="rId9"/>
    <sheet name="Open questions" sheetId="8" state="visible" r:id="rId10"/>
  </sheets>
  <definedNames>
    <definedName function="false" hidden="true" localSheetId="1" name="_xlnm._FilterDatabase" vbProcedure="false">Artifacts!$A$1:$W$65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L1" authorId="0">
      <text>
        <r>
          <rPr>
            <sz val="10"/>
            <rFont val="Arial"/>
            <family val="2"/>
          </rPr>
          <t xml:space="preserve">● = main section for this artifact
○ = also appears here (a crossover)</t>
        </r>
      </text>
    </comment>
    <comment ref="R1" authorId="0">
      <text>
        <r>
          <rPr>
            <sz val="10"/>
            <rFont val="Arial"/>
            <family val="2"/>
          </rPr>
          <t xml:space="preserve">Yes = on stage in its main section
Maybe = undecided
Archive = in the "+ more" list only
No = leave off the site</t>
        </r>
      </text>
    </comment>
  </commentList>
</comments>
</file>

<file path=xl/sharedStrings.xml><?xml version="1.0" encoding="utf-8"?>
<sst xmlns="http://schemas.openxmlformats.org/spreadsheetml/2006/main" count="1561" uniqueCount="729">
  <si>
    <t xml:space="preserve">Site artifacts: mapping workbook</t>
  </si>
  <si>
    <t xml:space="preserve">Everything compiled so far, for deciding what goes in each section. Nothing here is on the site yet.</t>
  </si>
  <si>
    <t xml:space="preserve">Direction (the most important thing)</t>
  </si>
  <si>
    <t xml:space="preserve">This is not a resume on a website. It should feel like: "This is Grant. Here are the things he's built, the places he's been, the problems he's worked on, the photos he's taken, and the weird side projects he makes because he's curious."</t>
  </si>
  <si>
    <t xml:space="preserve">Show, don't tell: the projects, photography, travel, languages, sports, startup and apps prove builder, field-oriented, problem solver, internationally curious and active. Don't add more personality words.</t>
  </si>
  <si>
    <t xml:space="preserve">Keep it uncluttered: personal context supports the work quietly, it never crowds it.</t>
  </si>
  <si>
    <t xml:space="preserve">Latest decisions: one quiet line in About ("Based in Austin · English, Italian, learning Portuguese"), with Jaylee and Helga as one small sprite each sitting on the 2021 ring (not a tile). No languages on the Travel map; no sports on films or trips. The Travel map is small dots (lived, photos, worked; homes you also worked in get the worked square, Wilmette is marked born), lines only for the moves between places lived, the countries visited shaded, and it zooms and pans.</t>
  </si>
  <si>
    <t xml:space="preserve">Sheets</t>
  </si>
  <si>
    <t xml:space="preserve">Artifacts: every project, role, app, build, film and place, with the section mapping.</t>
  </si>
  <si>
    <t xml:space="preserve">Section summary: counts per section (formulas) against a target, so you can see where to trim or add.</t>
  </si>
  <si>
    <t xml:space="preserve">Places: lived vs work sites vs trips, with map coordinates.</t>
  </si>
  <si>
    <t xml:space="preserve">Films: the 35mm albums with photo counts.</t>
  </si>
  <si>
    <t xml:space="preserve">Countries: the 34 countries visited, all on the Travel map.</t>
  </si>
  <si>
    <t xml:space="preserve">Profile: personal context (themes, languages, interests, values), kept apart from resume facts.</t>
  </si>
  <si>
    <t xml:space="preserve">Open questions: what I need from you to finish the map.</t>
  </si>
  <si>
    <t xml:space="preserve">How to edit</t>
  </si>
  <si>
    <t xml:space="preserve">Cream-shaded cells are yours to change: the six section columns, Featured?, To verify, Show on map?, Use on site?, and Your answer.</t>
  </si>
  <si>
    <t xml:space="preserve">Section columns: ● = the artifact's main section, ○ = it also appears there (a crossover). Pick from the dropdown or leave blank.</t>
  </si>
  <si>
    <t xml:space="preserve">Featured?: Yes = on stage in its main section · Maybe = undecided · Archive = only in the "+ more" list · No = leave off.</t>
  </si>
  <si>
    <t xml:space="preserve">Every row in Artifacts is a real example of the format: copy a row to add a new artifact.</t>
  </si>
  <si>
    <t xml:space="preserve">Sections</t>
  </si>
  <si>
    <t xml:space="preserve">About · Engineering · Projects · Art · Travel · Digital (was Apps) (the six tabs in the mocks).</t>
  </si>
  <si>
    <t xml:space="preserve">Sources</t>
  </si>
  <si>
    <t xml:space="preserve">Resume and Portfolio 2025 PDF (10 case studies), your apps table, your Google Photos 35mm albums, and your profile notes in chat. Featured? values are my first suggestions.</t>
  </si>
  <si>
    <t xml:space="preserve">ID</t>
  </si>
  <si>
    <t xml:space="preserve">Artifact</t>
  </si>
  <si>
    <t xml:space="preserve">Type</t>
  </si>
  <si>
    <t xml:space="preserve">Org / context</t>
  </si>
  <si>
    <t xml:space="preserve">Location</t>
  </si>
  <si>
    <t xml:space="preserve">Start</t>
  </si>
  <si>
    <t xml:space="preserve">End</t>
  </si>
  <si>
    <t xml:space="preserve">What it is</t>
  </si>
  <si>
    <t xml:space="preserve">Key facts &amp; numbers</t>
  </si>
  <si>
    <t xml:space="preserve">Tools / tech</t>
  </si>
  <si>
    <t xml:space="preserve">Link</t>
  </si>
  <si>
    <t xml:space="preserve">About</t>
  </si>
  <si>
    <t xml:space="preserve">Engineering</t>
  </si>
  <si>
    <t xml:space="preserve">Projects</t>
  </si>
  <si>
    <t xml:space="preserve">Art</t>
  </si>
  <si>
    <t xml:space="preserve">Travel</t>
  </si>
  <si>
    <t xml:space="preserve">Digital</t>
  </si>
  <si>
    <t xml:space="preserve">Featured?</t>
  </si>
  <si>
    <t xml:space="preserve">Visual form</t>
  </si>
  <si>
    <t xml:space="preserve">3D model?</t>
  </si>
  <si>
    <t xml:space="preserve">Assets we have</t>
  </si>
  <si>
    <t xml:space="preserve">To verify / missing</t>
  </si>
  <si>
    <t xml:space="preserve">Source</t>
  </si>
  <si>
    <t xml:space="preserve">Career &amp; milestones (About timeline)</t>
  </si>
  <si>
    <t xml:space="preserve">R1</t>
  </si>
  <si>
    <t xml:space="preserve">Enovis: Sr. Project Engineer, Advanced Manufacturing Engineering</t>
  </si>
  <si>
    <t xml:space="preserve">Role</t>
  </si>
  <si>
    <t xml:space="preserve">Enovis Corp</t>
  </si>
  <si>
    <t xml:space="preserve">Austin, TX</t>
  </si>
  <si>
    <t xml:space="preserve">2025</t>
  </si>
  <si>
    <t xml:space="preserve">Present</t>
  </si>
  <si>
    <t xml:space="preserve">Owner rep and engineering lead for a new operations facility and additive manufacturing center.</t>
  </si>
  <si>
    <t xml:space="preserve">See E1–E2. Leads a cross-functional engineering group; GCs, architects, specialty vendors.</t>
  </si>
  <si>
    <t xml:space="preserve">Project management, construction management, commissioning</t>
  </si>
  <si>
    <t xml:space="preserve">●</t>
  </si>
  <si>
    <t xml:space="preserve">○</t>
  </si>
  <si>
    <t xml:space="preserve">Yes</t>
  </si>
  <si>
    <t xml:space="preserve">Timeline card</t>
  </si>
  <si>
    <t xml:space="preserve">No</t>
  </si>
  <si>
    <t xml:space="preserve">Enovis logo (in repo)</t>
  </si>
  <si>
    <t xml:space="preserve">What can be shown publicly about Enovis work.</t>
  </si>
  <si>
    <t xml:space="preserve">Resume</t>
  </si>
  <si>
    <t xml:space="preserve">R2</t>
  </si>
  <si>
    <t xml:space="preserve">MAPEI Corp: Project Engineering Manager</t>
  </si>
  <si>
    <t xml:space="preserve">MAPEI Corp</t>
  </si>
  <si>
    <t xml:space="preserve">Dallas, TX</t>
  </si>
  <si>
    <t xml:space="preserve">2021</t>
  </si>
  <si>
    <t xml:space="preserve">2024</t>
  </si>
  <si>
    <t xml:space="preserve">Industrial construction and manufacturing capital projects.</t>
  </si>
  <si>
    <t xml:space="preserve">&gt;$30M of capital projects (mechanical, electrical, process piping, equipment). See E3–E7.</t>
  </si>
  <si>
    <t xml:space="preserve">SolidWorks, AutoCAD, MS Project, P&amp;IDs</t>
  </si>
  <si>
    <t xml:space="preserve">Portfolio pages 4–5; MAPEI logo (in repo)</t>
  </si>
  <si>
    <t xml:space="preserve">Card shows both stints: Chicago 2018–19, Dallas 2021–24.</t>
  </si>
  <si>
    <t xml:space="preserve">R3</t>
  </si>
  <si>
    <t xml:space="preserve">MAPEI SpA: Project Engineer</t>
  </si>
  <si>
    <t xml:space="preserve">MAPEI SpA (HQ)</t>
  </si>
  <si>
    <t xml:space="preserve">Milan, Italy</t>
  </si>
  <si>
    <t xml:space="preserve">2019</t>
  </si>
  <si>
    <t xml:space="preserve">Trained across day-to-day manufacturing operations; capital projects; static mixing R&amp;D.</t>
  </si>
  <si>
    <t xml:space="preserve">Supported design, prototyping and testing of new static mixing technology (became E6).</t>
  </si>
  <si>
    <t xml:space="preserve">Timeline card + Milan on map</t>
  </si>
  <si>
    <t xml:space="preserve">MAPEI logo (in repo)</t>
  </si>
  <si>
    <t xml:space="preserve">Any photos from Milan / the plant?</t>
  </si>
  <si>
    <t xml:space="preserve">R4</t>
  </si>
  <si>
    <t xml:space="preserve">MAPEI Corp: Junior Project Engineer</t>
  </si>
  <si>
    <t xml:space="preserve">Chicago, IL</t>
  </si>
  <si>
    <t xml:space="preserve">2018</t>
  </si>
  <si>
    <t xml:space="preserve">Technical studies and medium-scale capital projects for the Chicago site.</t>
  </si>
  <si>
    <t xml:space="preserve">Process improvement and infrastructure upgrades.</t>
  </si>
  <si>
    <t xml:space="preserve">Shown on the MAPEI Corp card (R2) as its 2018–19 Chicago stint; still marks Chicago as "worked" on the map.</t>
  </si>
  <si>
    <t xml:space="preserve">R5</t>
  </si>
  <si>
    <t xml:space="preserve">AWC Industries: Mechanical Engineering Intern</t>
  </si>
  <si>
    <t xml:space="preserve">AWC Industries</t>
  </si>
  <si>
    <t xml:space="preserve">2016</t>
  </si>
  <si>
    <t xml:space="preserve">Summer internship designing components and assemblies.</t>
  </si>
  <si>
    <t xml:space="preserve">Cut raw-material waste with design-for-manufacture parts; designed replacement parts to prevent downtime.</t>
  </si>
  <si>
    <t xml:space="preserve">SolidWorks</t>
  </si>
  <si>
    <t xml:space="preserve">None</t>
  </si>
  <si>
    <t xml:space="preserve">Removed from the site (your call).</t>
  </si>
  <si>
    <t xml:space="preserve">R6</t>
  </si>
  <si>
    <t xml:space="preserve">B.S. Mechanical Engineering</t>
  </si>
  <si>
    <t xml:space="preserve">Education</t>
  </si>
  <si>
    <t xml:space="preserve">University of Kansas</t>
  </si>
  <si>
    <t xml:space="preserve">Lawrence, KS</t>
  </si>
  <si>
    <t xml:space="preserve">2014</t>
  </si>
  <si>
    <t xml:space="preserve">BSME.</t>
  </si>
  <si>
    <t xml:space="preserve">Formula SAE electric powertrain (U1); biomechanical research (U2); SAE and Society of Biomedical Engineering.</t>
  </si>
  <si>
    <t xml:space="preserve">KU School of Engineering image (used as the KU tile picture); small KU logo (in repo, not shown under the tile)</t>
  </si>
  <si>
    <t xml:space="preserve">R7</t>
  </si>
  <si>
    <t xml:space="preserve">PMP certification</t>
  </si>
  <si>
    <t xml:space="preserve">Certification</t>
  </si>
  <si>
    <t xml:space="preserve">PMI</t>
  </si>
  <si>
    <t xml:space="preserve">Project Management Professional.</t>
  </si>
  <si>
    <t xml:space="preserve">Badge</t>
  </si>
  <si>
    <t xml:space="preserve">Not on the site (this is not a resume).</t>
  </si>
  <si>
    <t xml:space="preserve">R8</t>
  </si>
  <si>
    <t xml:space="preserve">HOA Board Director</t>
  </si>
  <si>
    <t xml:space="preserve">Leadership</t>
  </si>
  <si>
    <t xml:space="preserve">Mercer Square Condominium Association</t>
  </si>
  <si>
    <t xml:space="preserve">Board director for a condominium association.</t>
  </si>
  <si>
    <t xml:space="preserve">Line in About</t>
  </si>
  <si>
    <t xml:space="preserve">Professional engineering projects</t>
  </si>
  <si>
    <t xml:space="preserve">E1</t>
  </si>
  <si>
    <t xml:space="preserve">Operations facility build-out (200K sq ft)</t>
  </si>
  <si>
    <t xml:space="preserve">Engineering project</t>
  </si>
  <si>
    <t xml:space="preserve">End-to-end design and construction of a facility combining office, automated distribution, clean pack, sterilization and additive manufacturing, as owner rep.</t>
  </si>
  <si>
    <t xml:space="preserve">200K sq ft; budget &gt;$10M; major utilities, equipment integration, controls, life safety; next-phase expansion and capacity planning; lean / continuous improvement.</t>
  </si>
  <si>
    <t xml:space="preserve">Design-build delivery, commissioning, validation</t>
  </si>
  <si>
    <t xml:space="preserve">Miniature diorama of the building</t>
  </si>
  <si>
    <t xml:space="preserve">Yes (generic massing, real proportions)</t>
  </si>
  <si>
    <t xml:space="preserve">Enovis logo (in repo); MPOC model (block massing at real proportions, six zones + mezzanine, from the updated plan; no rooms) + tile still + About hover turntable, in Lens v2. MPOC, CPS and the AM lab are one plant.</t>
  </si>
  <si>
    <t xml:space="preserve">Public-safe photos or layouts? NDA limits?</t>
  </si>
  <si>
    <t xml:space="preserve">E2</t>
  </si>
  <si>
    <t xml:space="preserve">Industrial additive manufacturing center (EBM + SLS)</t>
  </si>
  <si>
    <t xml:space="preserve">Built out an AM center with EBM and SLS systems for patient-specific implants.</t>
  </si>
  <si>
    <t xml:space="preserve">Utilities, equipment siting, install sequencing, material-flow layout, production validation; scalable workflows aligned with regulatory, quality and environmental standards.</t>
  </si>
  <si>
    <t xml:space="preserve">EBM, SLS, process validation</t>
  </si>
  <si>
    <t xml:space="preserve">Printer / lattice part</t>
  </si>
  <si>
    <t xml:space="preserve">Yes (shares the MPOC model, lab lit)</t>
  </si>
  <si>
    <t xml:space="preserve">Shares the MPOC 3D model, opening with the additive &amp; subtractive manufacturing lab highlighted</t>
  </si>
  <si>
    <t xml:space="preserve">What can be shown (medical device confidentiality).</t>
  </si>
  <si>
    <t xml:space="preserve">E3</t>
  </si>
  <si>
    <t xml:space="preserve">Automated dry mix production plant</t>
  </si>
  <si>
    <t xml:space="preserve">MAPEI</t>
  </si>
  <si>
    <t xml:space="preserve">Houston, TX</t>
  </si>
  <si>
    <t xml:space="preserve">Ground-up automated dry mix production and packaging plant.</t>
  </si>
  <si>
    <t xml:space="preserve">European / North American vendors; Italian electrical contractors for power and automation; air permitting and FAA approval; delivered on budget and schedule.</t>
  </si>
  <si>
    <t xml:space="preserve">SolidWorks, AutoCAD, P&amp;IDs, commissioning</t>
  </si>
  <si>
    <t xml:space="preserve">Silo tower (strong hero)</t>
  </si>
  <si>
    <t xml:space="preserve">Yes (Grant's exterior model of MAPEI Houston, v12)</t>
  </si>
  <si>
    <t xml:space="preserve">Portfolio p.4: elevation, P&amp;ID, 3D render, tower photo, interior photo. MAPEI Houston exterior model (GLB v12) live in Lens v2 (zones: silo &amp; mixing tower, production &amp; warehouse, offices, site), opens with the tower lit; tile still + About hover turntable; photo viewer: the Houston silo tower and the plant interior (portfolio p.4)</t>
  </si>
  <si>
    <t xml:space="preserve">Dates: placeholder for now (About shows it at ~March 2022).</t>
  </si>
  <si>
    <t xml:space="preserve">Portfolio 2025</t>
  </si>
  <si>
    <t xml:space="preserve">E4</t>
  </si>
  <si>
    <t xml:space="preserve">Robotic palletizer and bag applicator</t>
  </si>
  <si>
    <t xml:space="preserve">Tempe, AZ</t>
  </si>
  <si>
    <t xml:space="preserve">Added automated robotic palletizing and bag application to an existing dry mix plant.</t>
  </si>
  <si>
    <t xml:space="preserve">Doubled the plant's total output capacity; removed two manual operations; prefab kept downtime minimal.</t>
  </si>
  <si>
    <t xml:space="preserve">SolidWorks, AutoCAD, MS Project</t>
  </si>
  <si>
    <t xml:space="preserve">Robot cell</t>
  </si>
  <si>
    <t xml:space="preserve">Have vendor render (portfolio)</t>
  </si>
  <si>
    <t xml:space="preserve">Cover picture: render of the robot cell on white (sent by Grant), framed 3:2; photo viewer: the robot lifting bags (portfolio p.4)</t>
  </si>
  <si>
    <t xml:space="preserve">Dates: placeholder for now.</t>
  </si>
  <si>
    <t xml:space="preserve">E5</t>
  </si>
  <si>
    <t xml:space="preserve">Site development: 315K sq ft brownfield</t>
  </si>
  <si>
    <t xml:space="preserve">Houston, TX (from Dallas); same facility as E3 and E7</t>
  </si>
  <si>
    <t xml:space="preserve">Turned a speculative brownfield building into a full production and distribution facility.</t>
  </si>
  <si>
    <t xml:space="preserve">315K sq ft; design-build; vendor selection and contracts; multiple concurrent projects.</t>
  </si>
  <si>
    <t xml:space="preserve">MS Project, design-build</t>
  </si>
  <si>
    <t xml:space="preserve">Building / diorama</t>
  </si>
  <si>
    <t xml:space="preserve">Yes (shares the MAPEI Houston model)</t>
  </si>
  <si>
    <t xml:space="preserve">MAPEI Houston model; tile still from higher up, with the site</t>
  </si>
  <si>
    <t xml:space="preserve">Lived in Dallas, travelled to Houston for this project. Dates: placeholder.</t>
  </si>
  <si>
    <t xml:space="preserve">E6</t>
  </si>
  <si>
    <t xml:space="preserve">In-line static mixing process</t>
  </si>
  <si>
    <t xml:space="preserve">Milan → Dallas, TX</t>
  </si>
  <si>
    <t xml:space="preserve">First production version of a new static mixing technology, prototyped in Milan and built in Dallas.</t>
  </si>
  <si>
    <t xml:space="preserve">Production time −35%; manual operations removed; enabled bulk material purchasing; equipment procured from Europe.</t>
  </si>
  <si>
    <t xml:space="preserve">European vendors, electromechanical contractors</t>
  </si>
  <si>
    <t xml:space="preserve">Mixing skid (prototype → production story)</t>
  </si>
  <si>
    <t xml:space="preserve">Have CAD (render in portfolio)</t>
  </si>
  <si>
    <t xml:space="preserve">Photo viewer: the static mixer as installed and its piping drawing (portfolio p.5). Picture still a placeholder.</t>
  </si>
  <si>
    <t xml:space="preserve">E7</t>
  </si>
  <si>
    <t xml:space="preserve">Liquid admixtures plant expansion ($5M)</t>
  </si>
  <si>
    <t xml:space="preserve">Houston, TX (in the MAPEI Houston facility, with E3)</t>
  </si>
  <si>
    <t xml:space="preserve">Plant expansion introducing automated blending and bulk transfer systems to the Southern U.S.</t>
  </si>
  <si>
    <t xml:space="preserve">$5M; design, construction, commissioning and lifecycle management.</t>
  </si>
  <si>
    <t xml:space="preserve">Process automation</t>
  </si>
  <si>
    <t xml:space="preserve">Process skid</t>
  </si>
  <si>
    <t xml:space="preserve">Yes (shares the MAPEI Houston model, plant building lit)</t>
  </si>
  <si>
    <t xml:space="preserve">MAPEI Houston model; tile still with the plant building lit</t>
  </si>
  <si>
    <t xml:space="preserve">Dates: placeholder for now. Where inside the building is the admixtures plant?</t>
  </si>
  <si>
    <t xml:space="preserve">Startup: OnlyChargeEV</t>
  </si>
  <si>
    <t xml:space="preserve">S1</t>
  </si>
  <si>
    <t xml:space="preserve">OnlyChargeEV</t>
  </si>
  <si>
    <t xml:space="preserve">Startup</t>
  </si>
  <si>
    <t xml:space="preserve">Founder</t>
  </si>
  <si>
    <t xml:space="preserve">Dallas, TX (Austin, Houston, San Antonio)</t>
  </si>
  <si>
    <t xml:space="preserve">2022</t>
  </si>
  <si>
    <t xml:space="preserve">Commercial EV charging service company across major Texas hubs.</t>
  </si>
  <si>
    <t xml:space="preserve">Partners: ChargePoint, Ford Pro, Xeal Energy, Verdek. Commercial, fleet and multifamily clients. Automated payments, accounting, compliance, estimating and proposals.</t>
  </si>
  <si>
    <t xml:space="preserve">CRM automation, email campaigns</t>
  </si>
  <si>
    <t xml:space="preserve">Charger pedestal + Texas map</t>
  </si>
  <si>
    <t xml:space="preserve">Generate (charger)</t>
  </si>
  <si>
    <t xml:space="preserve">Portfolio pp.2–3; OnlyChargeEV logo (in repo)</t>
  </si>
  <si>
    <t xml:space="preserve">Logo coming; use a lightning-bolt placeholder.</t>
  </si>
  <si>
    <t xml:space="preserve">S1a</t>
  </si>
  <si>
    <t xml:space="preserve">FedEx Office HQ workplace charging</t>
  </si>
  <si>
    <t xml:space="preserve">EV install</t>
  </si>
  <si>
    <t xml:space="preserve">Modernized workplace charging for FedEx Office HQ.</t>
  </si>
  <si>
    <t xml:space="preserve">8 Enel X JuiceBox Pro 40 L2 chargers on dual stands (4 replaced + 4 added = 8 ports); trenching, concrete, electrical; permits.</t>
  </si>
  <si>
    <t xml:space="preserve">Maybe</t>
  </si>
  <si>
    <t xml:space="preserve">Case inside S1</t>
  </si>
  <si>
    <t xml:space="preserve">Portfolio p.2: site plan + photo</t>
  </si>
  <si>
    <t xml:space="preserve">S1b</t>
  </si>
  <si>
    <t xml:space="preserve">Stallion Infrastructure Services fleet charging</t>
  </si>
  <si>
    <t xml:space="preserve">Fleet charging across a company campus.</t>
  </si>
  <si>
    <t xml:space="preserve">5 Ford Pro 11.5 kW (80A) wall-mounted L2 chargers; conduit, wiring, bollards; permitting.</t>
  </si>
  <si>
    <t xml:space="preserve">Portfolio p.2: photos</t>
  </si>
  <si>
    <t xml:space="preserve">S1c</t>
  </si>
  <si>
    <t xml:space="preserve">University multi-use commercial garage</t>
  </si>
  <si>
    <t xml:space="preserve">Fort Worth, TX</t>
  </si>
  <si>
    <t xml:space="preserve">Residential charging in a new multifamily parking garage.</t>
  </si>
  <si>
    <t xml:space="preserve">10 Xeal (32A) L2 chargers; power sharing to avoid electrical upgrades; commissioning.</t>
  </si>
  <si>
    <t xml:space="preserve">Portfolio p.3: plan + photo</t>
  </si>
  <si>
    <t xml:space="preserve">S1d</t>
  </si>
  <si>
    <t xml:space="preserve">Gateway Cedars multifamily</t>
  </si>
  <si>
    <t xml:space="preserve">Charging for a multifamily development.</t>
  </si>
  <si>
    <t xml:space="preserve">Two dual-port ChargePoint CT4000 units (4 ports); electrical upgrades; permitting.</t>
  </si>
  <si>
    <t xml:space="preserve">Portfolio p.3: aerial plan + photo</t>
  </si>
  <si>
    <t xml:space="preserve">University projects</t>
  </si>
  <si>
    <t xml:space="preserve">U1</t>
  </si>
  <si>
    <t xml:space="preserve">Formula SAE electric racecar</t>
  </si>
  <si>
    <t xml:space="preserve">University project</t>
  </si>
  <si>
    <t xml:space="preserve">2017</t>
  </si>
  <si>
    <t xml:space="preserve">Electric powertrain for KU's Formula SAE electric racecar.</t>
  </si>
  <si>
    <t xml:space="preserve">Led 5 electrical engineers; in-house motor controller; battery storage and management system; raced at Formula SAE Electric (Lincoln, NE).</t>
  </si>
  <si>
    <t xml:space="preserve">SolidWorks, MATLAB, FEA, 3D printing, CNC, laser, water jet</t>
  </si>
  <si>
    <t xml:space="preserve">Video: youtube.com/watch?v=QBBdbAZleAo</t>
  </si>
  <si>
    <t xml:space="preserve">Racecar</t>
  </si>
  <si>
    <t xml:space="preserve">Cover picture: Grant's render of the car; photo viewer: the nose in the rain (portfolio copy); video link</t>
  </si>
  <si>
    <t xml:space="preserve">CAD file? Race results?</t>
  </si>
  <si>
    <t xml:space="preserve">U2</t>
  </si>
  <si>
    <t xml:space="preserve">Assistive piano-pedal device</t>
  </si>
  <si>
    <t xml:space="preserve">KU biomechanical research</t>
  </si>
  <si>
    <t xml:space="preserve">Assistive devices that let a paraplegic pianist operate piano pedals.</t>
  </si>
  <si>
    <t xml:space="preserve">Played piano pedals for the first time; two additive prototypes, final part machined; team of 4; national news coverage.</t>
  </si>
  <si>
    <t xml:space="preserve">SolidWorks, 3D printing, CNC</t>
  </si>
  <si>
    <t xml:space="preserve">Video: youtube.com/watch?v=KiA2okjlkbE · The Kansas City Star: kansascity.com/news/local/article217177885.html · KSHB 41: kshb.com/news/local-news/ku-engineering-students-create-device-to-help-change-the-tune-for-young-teen</t>
  </si>
  <si>
    <t xml:space="preserve">Pedal device</t>
  </si>
  <si>
    <t xml:space="preserve">Yes (reconstruction from photos, GLB; exploded build)</t>
  </si>
  <si>
    <t xml:space="preserve">3D model of the device live in Lens v2 (six part zones) + tile still + About hover turntable; 5 photos from the portfolio (device, with the pianist, in CAD, two CAD renders) in the photo viewer; video and two news links</t>
  </si>
  <si>
    <t xml:space="preserve">News links: dummy placeholders until you send real ones.</t>
  </si>
  <si>
    <t xml:space="preserve">Maker builds</t>
  </si>
  <si>
    <t xml:space="preserve">M1</t>
  </si>
  <si>
    <t xml:space="preserve">Resin Light 1.0</t>
  </si>
  <si>
    <t xml:space="preserve">Maker build</t>
  </si>
  <si>
    <t xml:space="preserve">Personal</t>
  </si>
  <si>
    <t xml:space="preserve">First functional prototype of the Resin Lights: illuminated art and lighting pieces that combine cast resin with integrated LED lighting, the resin acting as both the visual material and the diffuser, so the object glows instead of exposing a fixture.</t>
  </si>
  <si>
    <t xml:space="preserve">Built to test the concept and learn how materials, lighting and fabrication behave in practice: resin casting technique, mold design, LED placement, diffusion, brightness, heat management, structure, surface finish, assembly.</t>
  </si>
  <si>
    <t xml:space="preserve">Mold making, resin casting, LED integration, thermal and electrical design, fabrication, finishing</t>
  </si>
  <si>
    <t xml:space="preserve">Object photo or 3D</t>
  </si>
  <si>
    <t xml:space="preserve">Generate from photos</t>
  </si>
  <si>
    <t xml:space="preserve">None yet</t>
  </si>
  <si>
    <t xml:space="preserve">Photos coming.</t>
  </si>
  <si>
    <t xml:space="preserve">Chat</t>
  </si>
  <si>
    <t xml:space="preserve">M2</t>
  </si>
  <si>
    <t xml:space="preserve">Resin Light 2.0</t>
  </si>
  <si>
    <t xml:space="preserve">Refined, high-fidelity, production-intent Resin Light, built on the lessons from 1.0.</t>
  </si>
  <si>
    <t xml:space="preserve">Improved form, lighting quality, material consistency, manufacturing process, repeatability, assembly, durability, fit and finish. Goal: move past a one-off prototype to a design that could realistically be manufactured and sold.</t>
  </si>
  <si>
    <t xml:space="preserve">Mold making, resin casting, LED integration, design for manufacture</t>
  </si>
  <si>
    <t xml:space="preserve">M3</t>
  </si>
  <si>
    <t xml:space="preserve">LED wall art</t>
  </si>
  <si>
    <t xml:space="preserve">A series of wall-mounted illuminated art pieces designed and fabricated from the ground up: concealed LEDs, layered structural components, diffusers and controlled spacing give a soft glow or gradient while hiding the electronics.</t>
  </si>
  <si>
    <t xml:space="preserve">Arduino-based controls, integrated circuit board, wired LEDs and a Bluetooth module, plus a custom app to control lighting behaviour, brightness and effects.</t>
  </si>
  <si>
    <t xml:space="preserve">Arduino, custom circuit board, Bluetooth, addressable LEDs, control app</t>
  </si>
  <si>
    <t xml:space="preserve">Glowing panel</t>
  </si>
  <si>
    <t xml:space="preserve">Generate (simple)</t>
  </si>
  <si>
    <t xml:space="preserve">Photos / video coming.</t>
  </si>
  <si>
    <t xml:space="preserve">Apps &amp; software</t>
  </si>
  <si>
    <t xml:space="preserve">A1</t>
  </si>
  <si>
    <t xml:space="preserve">ContactFlow</t>
  </si>
  <si>
    <t xml:space="preserve">App</t>
  </si>
  <si>
    <t xml:space="preserve">Oct 2026</t>
  </si>
  <si>
    <t xml:space="preserve">Contact discovery pipeline: paste messy people / company data, extract contacts, find domains, discover email patterns, rank candidates, verify domains, export CSV.</t>
  </si>
  <si>
    <t xml:space="preserve">Your rating: ⭐ Excellent</t>
  </si>
  <si>
    <t xml:space="preserve">TypeScript, React, Vite, Tailwind, Supabase, Claude</t>
  </si>
  <si>
    <t xml:space="preserve">https://contact-flow-web.vercel.app</t>
  </si>
  <si>
    <t xml:space="preserve">Screen with real screenshot</t>
  </si>
  <si>
    <t xml:space="preserve">No (screen)</t>
  </si>
  <si>
    <t xml:space="preserve">Live site; app icon (redrawn from your screenshot: send the original file)</t>
  </si>
  <si>
    <t xml:space="preserve">Screenshot / short screen recording.</t>
  </si>
  <si>
    <t xml:space="preserve">Apps table</t>
  </si>
  <si>
    <t xml:space="preserve">A2</t>
  </si>
  <si>
    <t xml:space="preserve">JobPaper</t>
  </si>
  <si>
    <t xml:space="preserve">ChatGPT app that turns contractor notes and photos into estimates, change orders and job reports, with editable documents and PDF export.</t>
  </si>
  <si>
    <t xml:space="preserve">TypeScript, MCP, ChatGPT Apps, jsPDF, Vercel</t>
  </si>
  <si>
    <t xml:space="preserve">https://job-paper.vercel.app</t>
  </si>
  <si>
    <t xml:space="preserve">Live site</t>
  </si>
  <si>
    <t xml:space="preserve">A3</t>
  </si>
  <si>
    <t xml:space="preserve">Collateral Damage</t>
  </si>
  <si>
    <t xml:space="preserve">Sep 2026</t>
  </si>
  <si>
    <t xml:space="preserve">Interactive simulation explaining collateral-damage estimation with a paper city, Monte Carlo runs, adjustable strike parameters and population estimates.</t>
  </si>
  <si>
    <t xml:space="preserve">TypeScript, Vite, simulation workers</t>
  </si>
  <si>
    <t xml:space="preserve">https://collateral-damage.vercel.app</t>
  </si>
  <si>
    <t xml:space="preserve">A4</t>
  </si>
  <si>
    <t xml:space="preserve">Virtual Dog Playground</t>
  </si>
  <si>
    <t xml:space="preserve">Virtual backyard for Jaylee and Helga with animated sprites, needs, personalities, autonomous play, swimming, tug-of-war and AI chat.</t>
  </si>
  <si>
    <t xml:space="preserve">Your rating: ⭐ Excellent creative</t>
  </si>
  <si>
    <t xml:space="preserve">TypeScript, Claude, Vercel</t>
  </si>
  <si>
    <t xml:space="preserve">https://jaylee-app.vercel.app</t>
  </si>
  <si>
    <t xml:space="preserve">OK to name Jaylee and Helga, with a photo.</t>
  </si>
  <si>
    <t xml:space="preserve">A5</t>
  </si>
  <si>
    <t xml:space="preserve">Gradient UI / Atmos Studio</t>
  </si>
  <si>
    <t xml:space="preserve">Nature-inspired gradient studio: 87 curated gradients, mesh editing, weather effects, animation, Live Sky, photo palette extraction, AI generation.</t>
  </si>
  <si>
    <t xml:space="preserve">Your rating: ⭐ Excellent visual</t>
  </si>
  <si>
    <t xml:space="preserve">TypeScript, React, Vite, Supabase, Claude</t>
  </si>
  <si>
    <t xml:space="preserve">https://gradient-ui.vercel.app</t>
  </si>
  <si>
    <t xml:space="preserve">A6</t>
  </si>
  <si>
    <t xml:space="preserve">GoldStarMan</t>
  </si>
  <si>
    <t xml:space="preserve">Jan 2026</t>
  </si>
  <si>
    <t xml:space="preserve">Goal and habit app built on yearly goals, weekly minimums and low-pressure daily progress instead of streaks.</t>
  </si>
  <si>
    <t xml:space="preserve">Your rating: Good</t>
  </si>
  <si>
    <t xml:space="preserve">Next.js 15, TypeScript, Tailwind</t>
  </si>
  <si>
    <t xml:space="preserve">https://gold-star-man.vercel.app</t>
  </si>
  <si>
    <t xml:space="preserve">A7</t>
  </si>
  <si>
    <t xml:space="preserve">Story AI (private)</t>
  </si>
  <si>
    <t xml:space="preserve">Nov 2025 (approx.)</t>
  </si>
  <si>
    <t xml:space="preserve">Nov 2025</t>
  </si>
  <si>
    <t xml:space="preserve">Personalized children's story generator with character creation, story library, auth and an interactive reader.</t>
  </si>
  <si>
    <t xml:space="preserve">Next.js 16, TypeScript, Supabase, Tailwind</t>
  </si>
  <si>
    <t xml:space="preserve">Screenshots only (private).</t>
  </si>
  <si>
    <t xml:space="preserve">A8</t>
  </si>
  <si>
    <t xml:space="preserve">AIConstruction</t>
  </si>
  <si>
    <t xml:space="preserve">Apr 2025</t>
  </si>
  <si>
    <t xml:space="preserve">Conversational DIY / construction assistant: recommends materials and tools, builds shopping lists, supports affiliate links.</t>
  </si>
  <si>
    <t xml:space="preserve">Next.js, TypeScript, Tailwind, OpenAI</t>
  </si>
  <si>
    <t xml:space="preserve">Live link to add.</t>
  </si>
  <si>
    <t xml:space="preserve">A9</t>
  </si>
  <si>
    <t xml:space="preserve">Gmail Agent (private)</t>
  </si>
  <si>
    <t xml:space="preserve">Jan 2025 (approx.)</t>
  </si>
  <si>
    <t xml:space="preserve">Jan 2025</t>
  </si>
  <si>
    <t xml:space="preserve">AI email assistant: monitors Gmail, uses Claude to decide which messages need action, creates prioritized Todoist tasks.</t>
  </si>
  <si>
    <t xml:space="preserve">Your rating: Good AI automation</t>
  </si>
  <si>
    <t xml:space="preserve">Python, Gmail API, Claude, Todoist</t>
  </si>
  <si>
    <t xml:space="preserve">A10</t>
  </si>
  <si>
    <t xml:space="preserve">Silo Fill</t>
  </si>
  <si>
    <t xml:space="preserve">Nov 2024</t>
  </si>
  <si>
    <t xml:space="preserve">Engineering notebook visualizing silo fill level with an interactive percentage slider and generated plots.</t>
  </si>
  <si>
    <t xml:space="preserve">Your rating: ⭐ Useful engineering artifact</t>
  </si>
  <si>
    <t xml:space="preserve">Python, Jupyter, Matplotlib, widgets</t>
  </si>
  <si>
    <t xml:space="preserve">Ties to the silo plant (E3). Publishable as an interactive?</t>
  </si>
  <si>
    <t xml:space="preserve">A11</t>
  </si>
  <si>
    <t xml:space="preserve">RoomAI</t>
  </si>
  <si>
    <t xml:space="preserve">Photo of a room in, segmentation finds walls, floors, windows and doors, out come material quantities and cost estimates.</t>
  </si>
  <si>
    <t xml:space="preserve">Your rating: ⭐ Strong AI / Engineering</t>
  </si>
  <si>
    <t xml:space="preserve">AI image segmentation (SAM 3.0), web app</t>
  </si>
  <si>
    <t xml:space="preserve">https://luminous-horse-8a5278.netlify.app</t>
  </si>
  <si>
    <t xml:space="preserve">A12</t>
  </si>
  <si>
    <t xml:space="preserve">Cover Letter Agent (Stupid Simple AI Agents)</t>
  </si>
  <si>
    <t xml:space="preserve">Takes a job description and generates a tailored cover letter, with PDF output and a simple web interface.</t>
  </si>
  <si>
    <t xml:space="preserve">AI automation, web app, document generation</t>
  </si>
  <si>
    <t xml:space="preserve">https://strong-paletas-d76f45.netlify.app</t>
  </si>
  <si>
    <t xml:space="preserve">A13</t>
  </si>
  <si>
    <t xml:space="preserve">Custom LLM training pipeline</t>
  </si>
  <si>
    <t xml:space="preserve">Scraped and cleaned thousands of construction datasheets, then fine-tuned a quantized Meta Llama model into a construction-focused LLM.</t>
  </si>
  <si>
    <t xml:space="preserve">Your rating: ⭐ Excellent AI / Engineering</t>
  </si>
  <si>
    <t xml:space="preserve">Python, Llama 3.x, fine-tuning, quantization, web scraping</t>
  </si>
  <si>
    <t xml:space="preserve">A14</t>
  </si>
  <si>
    <t xml:space="preserve">Factory digital twin</t>
  </si>
  <si>
    <t xml:space="preserve">Personal (verify)</t>
  </si>
  <si>
    <t xml:space="preserve">Digital twin of a factory (details to come).</t>
  </si>
  <si>
    <t xml:space="preserve">Screen with real screenshot / 3D view</t>
  </si>
  <si>
    <t xml:space="preserve">Maybe (it is a model)</t>
  </si>
  <si>
    <t xml:space="preserve">What it models, tech, year, link, screenshots. Personal, or tied to an employer (confidential)?</t>
  </si>
  <si>
    <t xml:space="preserve">Your note in chat</t>
  </si>
  <si>
    <t xml:space="preserve">Films (35mm albums)</t>
  </si>
  <si>
    <t xml:space="preserve">F1</t>
  </si>
  <si>
    <t xml:space="preserve">Mallorca, Ibiza &amp; Formentera (35mm)</t>
  </si>
  <si>
    <t xml:space="preserve">Film album</t>
  </si>
  <si>
    <t xml:space="preserve">35mm film</t>
  </si>
  <si>
    <t xml:space="preserve">Spain</t>
  </si>
  <si>
    <t xml:space="preserve">65 photos.</t>
  </si>
  <si>
    <t xml:space="preserve">Print stack</t>
  </si>
  <si>
    <t xml:space="preserve">No (photos)</t>
  </si>
  <si>
    <t xml:space="preserve">Google Photos album</t>
  </si>
  <si>
    <t xml:space="preserve">Photos: placeholders until the folder / links arrive.</t>
  </si>
  <si>
    <t xml:space="preserve">Photos</t>
  </si>
  <si>
    <t xml:space="preserve">F2</t>
  </si>
  <si>
    <t xml:space="preserve">Lagos, Algarve &amp; Lisbon (35mm)</t>
  </si>
  <si>
    <t xml:space="preserve">Portugal</t>
  </si>
  <si>
    <t xml:space="preserve">64 photos.</t>
  </si>
  <si>
    <t xml:space="preserve">F3</t>
  </si>
  <si>
    <t xml:space="preserve">Argentina–Chile–Peru (35mm)</t>
  </si>
  <si>
    <t xml:space="preserve">Argentina, Chile, Peru</t>
  </si>
  <si>
    <t xml:space="preserve">267 photos.</t>
  </si>
  <si>
    <t xml:space="preserve">F4</t>
  </si>
  <si>
    <t xml:space="preserve">Mexico (35mm)</t>
  </si>
  <si>
    <t xml:space="preserve">Mexico</t>
  </si>
  <si>
    <t xml:space="preserve">84 photos.</t>
  </si>
  <si>
    <t xml:space="preserve">F5</t>
  </si>
  <si>
    <t xml:space="preserve">New Mexico (Father &amp; Son) (35mm)</t>
  </si>
  <si>
    <t xml:space="preserve">New Mexico, USA</t>
  </si>
  <si>
    <t xml:space="preserve">39 photos.</t>
  </si>
  <si>
    <t xml:space="preserve">F6</t>
  </si>
  <si>
    <t xml:space="preserve">Brazil (35mm)</t>
  </si>
  <si>
    <t xml:space="preserve">Brazil</t>
  </si>
  <si>
    <t xml:space="preserve">177 photos.</t>
  </si>
  <si>
    <t xml:space="preserve">F7</t>
  </si>
  <si>
    <t xml:space="preserve">Peru (35mm)</t>
  </si>
  <si>
    <t xml:space="preserve">Peru</t>
  </si>
  <si>
    <t xml:space="preserve">106 photos.</t>
  </si>
  <si>
    <t xml:space="preserve">F8</t>
  </si>
  <si>
    <t xml:space="preserve">Palm Beach (35mm)</t>
  </si>
  <si>
    <t xml:space="preserve">Florida, USA</t>
  </si>
  <si>
    <t xml:space="preserve">F9</t>
  </si>
  <si>
    <t xml:space="preserve">Mexico City (35mm)</t>
  </si>
  <si>
    <t xml:space="preserve">59 photos.</t>
  </si>
  <si>
    <t xml:space="preserve">F10</t>
  </si>
  <si>
    <t xml:space="preserve">Italy (35mm)</t>
  </si>
  <si>
    <t xml:space="preserve">Italy</t>
  </si>
  <si>
    <t xml:space="preserve">F11</t>
  </si>
  <si>
    <t xml:space="preserve">Colombia (35mm)</t>
  </si>
  <si>
    <t xml:space="preserve">Colombia</t>
  </si>
  <si>
    <t xml:space="preserve">53 photos.</t>
  </si>
  <si>
    <t xml:space="preserve">Places lived (Travel)</t>
  </si>
  <si>
    <t xml:space="preserve">P1</t>
  </si>
  <si>
    <t xml:space="preserve">Wilmette, IL</t>
  </si>
  <si>
    <t xml:space="preserve">Place lived</t>
  </si>
  <si>
    <t xml:space="preserve">Born / grew up</t>
  </si>
  <si>
    <t xml:space="preserve">Born / grew up.</t>
  </si>
  <si>
    <t xml:space="preserve">Home marker on the map</t>
  </si>
  <si>
    <t xml:space="preserve">Chicago area.</t>
  </si>
  <si>
    <t xml:space="preserve">Profile notes + resume</t>
  </si>
  <si>
    <t xml:space="preserve">P2</t>
  </si>
  <si>
    <t xml:space="preserve">Lived (university)</t>
  </si>
  <si>
    <t xml:space="preserve">Lived (university).</t>
  </si>
  <si>
    <t xml:space="preserve">Inferred from KU dates.</t>
  </si>
  <si>
    <t xml:space="preserve">P3</t>
  </si>
  <si>
    <t xml:space="preserve">Lived / worked</t>
  </si>
  <si>
    <t xml:space="preserve">Lived / worked.</t>
  </si>
  <si>
    <t xml:space="preserve">Inferred from MAPEI Chicago; lived in Chicago or Wilmette?</t>
  </si>
  <si>
    <t xml:space="preserve">P4</t>
  </si>
  <si>
    <t xml:space="preserve">Lived (moved abroad)</t>
  </si>
  <si>
    <t xml:space="preserve">Lived (moved abroad).</t>
  </si>
  <si>
    <t xml:space="preserve">Inferred from MAPEI SpA.</t>
  </si>
  <si>
    <t xml:space="preserve">P5</t>
  </si>
  <si>
    <t xml:space="preserve">Lived</t>
  </si>
  <si>
    <t xml:space="preserve">Lived.</t>
  </si>
  <si>
    <t xml:space="preserve">Inferred from MAPEI Corp / OnlyChargeEV.</t>
  </si>
  <si>
    <t xml:space="preserve">P6</t>
  </si>
  <si>
    <t xml:space="preserve">Lives now</t>
  </si>
  <si>
    <t xml:space="preserve">Lives now.</t>
  </si>
  <si>
    <t xml:space="preserve">Since April 2025.</t>
  </si>
  <si>
    <t xml:space="preserve">Section</t>
  </si>
  <si>
    <t xml:space="preserve">Main (●)</t>
  </si>
  <si>
    <t xml:space="preserve">Appears (● + ○)</t>
  </si>
  <si>
    <t xml:space="preserve">Featured (main + Yes)</t>
  </si>
  <si>
    <t xml:space="preserve">Target min</t>
  </si>
  <si>
    <t xml:space="preserve">Target max</t>
  </si>
  <si>
    <t xml:space="preserve">Status</t>
  </si>
  <si>
    <t xml:space="preserve">Note</t>
  </si>
  <si>
    <t xml:space="preserve">Milestones, not the whole archive.</t>
  </si>
  <si>
    <t xml:space="preserve">Your picks: 7. E5 could pair with E3 (both Houston) if it feels busy.</t>
  </si>
  <si>
    <t xml:space="preserve">Builds and the startup.</t>
  </si>
  <si>
    <t xml:space="preserve">All 11 films chosen, as stacks on the Art plot.</t>
  </si>
  <si>
    <t xml:space="preserve">Places lived + trips worth showing.</t>
  </si>
  <si>
    <t xml:space="preserve">Strongest apps.</t>
  </si>
  <si>
    <t xml:space="preserve">Artifacts listed</t>
  </si>
  <si>
    <t xml:space="preserve">Targets (blue) are my suggestions from our discussion: change them freely. "Featured" counts artifacts whose main section is this one and Featured? = Yes.</t>
  </si>
  <si>
    <t xml:space="preserve">Place</t>
  </si>
  <si>
    <t xml:space="preserve">Country</t>
  </si>
  <si>
    <t xml:space="preserve">Kind</t>
  </si>
  <si>
    <t xml:space="preserve">From</t>
  </si>
  <si>
    <t xml:space="preserve">To</t>
  </si>
  <si>
    <t xml:space="preserve">Why</t>
  </si>
  <si>
    <t xml:space="preserve">Lat</t>
  </si>
  <si>
    <t xml:space="preserve">Lon</t>
  </si>
  <si>
    <t xml:space="preserve">Show on map?</t>
  </si>
  <si>
    <t xml:space="preserve">USA</t>
  </si>
  <si>
    <t xml:space="preserve">Confirmed: before Lawrence. Marked "born" on the map (phones say "Chicago · born")</t>
  </si>
  <si>
    <t xml:space="preserve">Confirmed</t>
  </si>
  <si>
    <t xml:space="preserve">MAPEI Chicago</t>
  </si>
  <si>
    <t xml:space="preserve">Milan</t>
  </si>
  <si>
    <t xml:space="preserve">MAPEI SpA</t>
  </si>
  <si>
    <t xml:space="preserve">MAPEI Corp; OnlyChargeEV</t>
  </si>
  <si>
    <t xml:space="preserve">Confirmed; until the Austin move (April 2025)</t>
  </si>
  <si>
    <t xml:space="preserve">Enovis</t>
  </si>
  <si>
    <t xml:space="preserve">Since April 2025</t>
  </si>
  <si>
    <t xml:space="preserve">Work site</t>
  </si>
  <si>
    <t xml:space="preserve">MAPEI Houston, one facility: dry mix plant (E3), liquid admixtures plant (E7), site development (E5); Stallion EV (S1b)</t>
  </si>
  <si>
    <t xml:space="preserve">Robotic palletizer (E4)</t>
  </si>
  <si>
    <t xml:space="preserve">Multifamily garage charging (S1c)</t>
  </si>
  <si>
    <t xml:space="preserve">Lincoln, NE</t>
  </si>
  <si>
    <t xml:space="preserve">Event</t>
  </si>
  <si>
    <t xml:space="preserve">Formula SAE Electric competition</t>
  </si>
  <si>
    <t xml:space="preserve">Mallorca, Ibiza &amp; Formentera</t>
  </si>
  <si>
    <t xml:space="preserve">Trip</t>
  </si>
  <si>
    <t xml:space="preserve">2026</t>
  </si>
  <si>
    <t xml:space="preserve">Film F1</t>
  </si>
  <si>
    <t xml:space="preserve">Lagos, Algarve &amp; Lisbon</t>
  </si>
  <si>
    <t xml:space="preserve">Film F2</t>
  </si>
  <si>
    <t xml:space="preserve">Argentina–Chile–Peru</t>
  </si>
  <si>
    <t xml:space="preserve">Film F3</t>
  </si>
  <si>
    <t xml:space="preserve">Which cities?</t>
  </si>
  <si>
    <t xml:space="preserve">Film F4</t>
  </si>
  <si>
    <t xml:space="preserve">New Mexico</t>
  </si>
  <si>
    <t xml:space="preserve">Film F5 (father &amp; son)</t>
  </si>
  <si>
    <t xml:space="preserve">Film F6</t>
  </si>
  <si>
    <t xml:space="preserve">Cover looks like Rio: verify</t>
  </si>
  <si>
    <t xml:space="preserve">2023</t>
  </si>
  <si>
    <t xml:space="preserve">Film F7</t>
  </si>
  <si>
    <t xml:space="preserve">Palm Beach, FL</t>
  </si>
  <si>
    <t xml:space="preserve">Film F8</t>
  </si>
  <si>
    <t xml:space="preserve">Mexico City</t>
  </si>
  <si>
    <t xml:space="preserve">Film F9</t>
  </si>
  <si>
    <t xml:space="preserve">Film F10</t>
  </si>
  <si>
    <t xml:space="preserve">Cover looks like Rome: verify</t>
  </si>
  <si>
    <t xml:space="preserve">Film F11</t>
  </si>
  <si>
    <t xml:space="preserve">Lived vs travelled are kept separate. Countries visited (34) are on the Countries sheet and all shaded on the Travel map.</t>
  </si>
  <si>
    <t xml:space="preserve">Coordinates are approximate city centres for the map; blank where the city is unknown.</t>
  </si>
  <si>
    <t xml:space="preserve">Album</t>
  </si>
  <si>
    <t xml:space="preserve">Year</t>
  </si>
  <si>
    <t xml:space="preserve">Total</t>
  </si>
  <si>
    <t xml:space="preserve">Featured</t>
  </si>
  <si>
    <t xml:space="preserve">Photo counts come from your Google Photos screenshot. Each album becomes one print stack in Art and a trip on the Travel map.</t>
  </si>
  <si>
    <t xml:space="preserve">I hace them on google just add place holders viaul now we can give you folder or links later for the phtoos.</t>
  </si>
  <si>
    <t xml:space="preserve">#</t>
  </si>
  <si>
    <t xml:space="preserve">Region</t>
  </si>
  <si>
    <t xml:space="preserve">On the Travel map</t>
  </si>
  <si>
    <t xml:space="preserve">North America</t>
  </si>
  <si>
    <t xml:space="preserve">Shaded</t>
  </si>
  <si>
    <t xml:space="preserve">Canada</t>
  </si>
  <si>
    <t xml:space="preserve">Bahamas</t>
  </si>
  <si>
    <t xml:space="preserve">Caribbean</t>
  </si>
  <si>
    <t xml:space="preserve">Dominican Republic</t>
  </si>
  <si>
    <t xml:space="preserve">Dominica</t>
  </si>
  <si>
    <t xml:space="preserve">Dot</t>
  </si>
  <si>
    <t xml:space="preserve">Too small for the map outlines</t>
  </si>
  <si>
    <t xml:space="preserve">St Lucia</t>
  </si>
  <si>
    <t xml:space="preserve">Barbados</t>
  </si>
  <si>
    <t xml:space="preserve">St Kitts</t>
  </si>
  <si>
    <t xml:space="preserve">Jamaica</t>
  </si>
  <si>
    <t xml:space="preserve">Belize</t>
  </si>
  <si>
    <t xml:space="preserve">Central America</t>
  </si>
  <si>
    <t xml:space="preserve">Honduras</t>
  </si>
  <si>
    <t xml:space="preserve">Panama</t>
  </si>
  <si>
    <t xml:space="preserve">Guatemala</t>
  </si>
  <si>
    <t xml:space="preserve">South America</t>
  </si>
  <si>
    <t xml:space="preserve">Films F3, F7</t>
  </si>
  <si>
    <t xml:space="preserve">Argentina</t>
  </si>
  <si>
    <t xml:space="preserve">Chile</t>
  </si>
  <si>
    <t xml:space="preserve">South Africa</t>
  </si>
  <si>
    <t xml:space="preserve">Africa</t>
  </si>
  <si>
    <t xml:space="preserve">Europe</t>
  </si>
  <si>
    <t xml:space="preserve">Lived (Milan); film F10</t>
  </si>
  <si>
    <t xml:space="preserve">Slovenia</t>
  </si>
  <si>
    <t xml:space="preserve">France</t>
  </si>
  <si>
    <t xml:space="preserve">Croatia</t>
  </si>
  <si>
    <t xml:space="preserve">Hungary</t>
  </si>
  <si>
    <t xml:space="preserve">Czech Republic</t>
  </si>
  <si>
    <t xml:space="preserve">Germany</t>
  </si>
  <si>
    <t xml:space="preserve">Switzerland</t>
  </si>
  <si>
    <t xml:space="preserve">Denmark</t>
  </si>
  <si>
    <t xml:space="preserve">England (UK)</t>
  </si>
  <si>
    <t xml:space="preserve">Netherlands</t>
  </si>
  <si>
    <t xml:space="preserve">Austria</t>
  </si>
  <si>
    <t xml:space="preserve">Your list, 34 countries (count verified). Every one is on the Travel map: shaded, or a dot for the four islands too small for its outlines.</t>
  </si>
  <si>
    <t xml:space="preserve">Group</t>
  </si>
  <si>
    <t xml:space="preserve">Item</t>
  </si>
  <si>
    <t xml:space="preserve">Detail</t>
  </si>
  <si>
    <t xml:space="preserve">Use on site?</t>
  </si>
  <si>
    <t xml:space="preserve">Theme</t>
  </si>
  <si>
    <t xml:space="preserve">Builder</t>
  </si>
  <si>
    <t xml:space="preserve">Takes things from idea through design, construction, commissioning and real operation.</t>
  </si>
  <si>
    <t xml:space="preserve">Your notes</t>
  </si>
  <si>
    <t xml:space="preserve">Field-oriented engineer</t>
  </si>
  <si>
    <t xml:space="preserve">Comfortable on a site or factory floor; wants a tangible connection to what gets built.</t>
  </si>
  <si>
    <t xml:space="preserve">Problem solver</t>
  </si>
  <si>
    <t xml:space="preserve">Drawn to ambiguous situations: understand the system, work the constraints, find a path.</t>
  </si>
  <si>
    <t xml:space="preserve">Internationally curious</t>
  </si>
  <si>
    <t xml:space="preserve">Travel, living abroad, languages and cultures are central, not occasional.</t>
  </si>
  <si>
    <t xml:space="preserve">Active / adventurous</t>
  </si>
  <si>
    <t xml:space="preserve">Movement, outdoors, exploration, learning new physical skills.</t>
  </si>
  <si>
    <t xml:space="preserve">Language</t>
  </si>
  <si>
    <t xml:space="preserve">English</t>
  </si>
  <si>
    <t xml:space="preserve">Native</t>
  </si>
  <si>
    <t xml:space="preserve">Italian</t>
  </si>
  <si>
    <t xml:space="preserve">Professional working proficiency</t>
  </si>
  <si>
    <t xml:space="preserve">Portuguese</t>
  </si>
  <si>
    <t xml:space="preserve">Learning</t>
  </si>
  <si>
    <t xml:space="preserve">Profile</t>
  </si>
  <si>
    <t xml:space="preserve">Deeply curious, adventurous, hands-on; likes unfamiliar problems and new environments; cultures and learning.</t>
  </si>
  <si>
    <t xml:space="preserve">Interests</t>
  </si>
  <si>
    <t xml:space="preserve">Travel; film / photography</t>
  </si>
  <si>
    <t xml:space="preserve">Endurance</t>
  </si>
  <si>
    <t xml:space="preserve">Running, trail running, cycling / mountain biking, swimming, triathlons, hiking</t>
  </si>
  <si>
    <t xml:space="preserve">Board &amp; water</t>
  </si>
  <si>
    <t xml:space="preserve">Snowboarding, surfing, kitesurfing</t>
  </si>
  <si>
    <t xml:space="preserve">Ball &amp; racket</t>
  </si>
  <si>
    <t xml:space="preserve">Soccer, padel, pickleball, golf</t>
  </si>
  <si>
    <t xml:space="preserve">Values</t>
  </si>
  <si>
    <t xml:space="preserve">Family and friends, curiosity, learning, exploration, independence, problem solving, physical activity, different cultures.</t>
  </si>
  <si>
    <t xml:space="preserve">Industries</t>
  </si>
  <si>
    <t xml:space="preserve">Manufacturing; construction materials / chemicals (MAPEI); medical devices and additive manufacturing (Enovis); EV infrastructure; industrial construction.</t>
  </si>
  <si>
    <t xml:space="preserve">Skills</t>
  </si>
  <si>
    <t xml:space="preserve">Management</t>
  </si>
  <si>
    <t xml:space="preserve">Project management, business development, budget planning, industrial construction, procurement, strategic planning, site integration, risk tracking, expansion planning, equipment installation &amp; integration.</t>
  </si>
  <si>
    <t xml:space="preserve">Technical</t>
  </si>
  <si>
    <t xml:space="preserve">Mechanical &amp; electrical systems design, EV infrastructure, P&amp;IDs, process automation, permits &amp; compliance.</t>
  </si>
  <si>
    <t xml:space="preserve">Engineering software</t>
  </si>
  <si>
    <t xml:space="preserve">AutoCAD, SolidWorks, MATLAB, LabVIEW, Microsoft Project, CRM / ERP.</t>
  </si>
  <si>
    <t xml:space="preserve">Software (from app building)</t>
  </si>
  <si>
    <t xml:space="preserve">TypeScript, React, Next.js, Vite, Tailwind, Supabase, Python, Claude / OpenAI APIs, MCP, Llama fine-tuning, image segmentation.</t>
  </si>
  <si>
    <t xml:space="preserve">Future</t>
  </si>
  <si>
    <t xml:space="preserve">Future interests</t>
  </si>
  <si>
    <t xml:space="preserve">(industries, locations, technologies, roles you want next) we can maybe add place for this with placeholder and ill add or deelte stuff</t>
  </si>
  <si>
    <t xml:space="preserve">Ask</t>
  </si>
  <si>
    <t xml:space="preserve">To fill</t>
  </si>
  <si>
    <t xml:space="preserve">Rule</t>
  </si>
  <si>
    <t xml:space="preserve">Resume facts vs personal context</t>
  </si>
  <si>
    <t xml:space="preserve">Keep personal context (family, sports, travel) out of anything resume-like unless chosen deliberately.</t>
  </si>
  <si>
    <t xml:space="preserve">Show, don't tell</t>
  </si>
  <si>
    <t xml:space="preserve">No more personality words. The five themes are enough; the projects, photos, travel, languages, sports, startup and apps prove them.</t>
  </si>
  <si>
    <t xml:space="preserve">One quiet line</t>
  </si>
  <si>
    <t xml:space="preserve">At most one line in About: "Based in Austin · English, Italian, learning Portuguese". Languages stay off the Travel map; sports stay off the films and trips.</t>
  </si>
  <si>
    <t xml:space="preserve">Your answer</t>
  </si>
  <si>
    <t xml:space="preserve">Jaylee and Helga</t>
  </si>
  <si>
    <t xml:space="preserve">Named, as one small sprite of each sitting on the 2021 ring in About (name on hover), never as a tile.</t>
  </si>
  <si>
    <t xml:space="preserve">not sure how to diplay all the about profle stuff don’t want to make everythign to busy also!!</t>
  </si>
  <si>
    <t xml:space="preserve">→ Decided: the one quiet line and the dogs (rows 24–25). Everything else here is shown by the work itself, not listed.</t>
  </si>
  <si>
    <t xml:space="preserve">Race</t>
  </si>
  <si>
    <t xml:space="preserve">Austin Marathon</t>
  </si>
  <si>
    <t xml:space="preserve">Full marathon (26.2 mi), February 2024. Its logo, small, on the 2024 ring in About (name on hover).</t>
  </si>
  <si>
    <t xml:space="preserve">Your note</t>
  </si>
  <si>
    <t xml:space="preserve">IRONMAN 70.3 Texas</t>
  </si>
  <si>
    <t xml:space="preserve">Spring 2026 (April as a placeholder). Its logo, small, on the 2026 ring in About.</t>
  </si>
  <si>
    <t xml:space="preserve">Question</t>
  </si>
  <si>
    <t xml:space="preserve">Affects</t>
  </si>
  <si>
    <t xml:space="preserve">Your portfolio PDF is marked "confidential, intended solely for the recipient". Is it OK to show these projects (photos, renders, numbers) on a public site?</t>
  </si>
  <si>
    <t xml:space="preserve">E3–E6, S1a–d, U1–U2</t>
  </si>
  <si>
    <t xml:space="preserve">What can be shown publicly about Enovis (photos, layouts, numbers)?</t>
  </si>
  <si>
    <t xml:space="preserve">R1, E1, E2</t>
  </si>
  <si>
    <t xml:space="preserve">Yes we can decide later</t>
  </si>
  <si>
    <t xml:space="preserve">Full country list (34 entries counted earlier vs 33 in your note).</t>
  </si>
  <si>
    <t xml:space="preserve">Travel map</t>
  </si>
  <si>
    <t xml:space="preserve">you cab veify count those should all go on map</t>
  </si>
  <si>
    <t xml:space="preserve">Places lived: confirm cities and years (Lawrence 2014–18; Chicago or Wilmette 2018–19; Milan 2019–21; Dallas 2021–24; Austin since when?).</t>
  </si>
  <si>
    <t xml:space="preserve">P1–P6, About</t>
  </si>
  <si>
    <t xml:space="preserve">april 2025 to now</t>
  </si>
  <si>
    <t xml:space="preserve">Start / end dates for the MAPEI projects (dry mix plant, palletizer, static mixing, site development, liquid admixtures).</t>
  </si>
  <si>
    <t xml:space="preserve">E3–E7</t>
  </si>
  <si>
    <t xml:space="preserve">skip for now maybe just makr placeholers</t>
  </si>
  <si>
    <t xml:space="preserve">Stallion fleet project: 3 or 5 chargers? The portfolio says both.</t>
  </si>
  <si>
    <t xml:space="preserve">5 chargers</t>
  </si>
  <si>
    <t xml:space="preserve">Site development: Houston (portfolio) while the role was Dallas-based. Confirm, and show it with the dry mix plant as one Houston story?</t>
  </si>
  <si>
    <t xml:space="preserve">E5, E3</t>
  </si>
  <si>
    <t xml:space="preserve">I traveled yes from dallas to houston lived in dallas</t>
  </si>
  <si>
    <t xml:space="preserve">$5M liquid admixtures expansion: where, when, any photos?</t>
  </si>
  <si>
    <t xml:space="preserve">yes I have</t>
  </si>
  <si>
    <t xml:space="preserve">Resin Light 1.0 / 2.0 and LED wall art: what they are, materials, years, photos, any code or controller.</t>
  </si>
  <si>
    <t xml:space="preserve">M1–M3</t>
  </si>
  <si>
    <t xml:space="preserve">Descriptions received (now in M1–M3). Photos later.</t>
  </si>
  <si>
    <t xml:space="preserve">Which CAD files can you export (dry mix tower, palletizer, static mixer, FSAE car, piano-pedal device)? These become the 3D models.</t>
  </si>
  <si>
    <t xml:space="preserve">3D models</t>
  </si>
  <si>
    <t xml:space="preserve">we mguht have to make respresetnations for some not acutal ones. Then show phtoso when we click on them!</t>
  </si>
  <si>
    <t xml:space="preserve">Links to the news coverage of the piano-pedal device.</t>
  </si>
  <si>
    <t xml:space="preserve">yes I can get add dummy ones</t>
  </si>
  <si>
    <t xml:space="preserve">Album years (only the 2025 ones are dated) and the cities for Argentina–Chile–Peru, Mexico, New Mexico, Peru. Colombia album is empty.</t>
  </si>
  <si>
    <t xml:space="preserve">F1–F11, Travel</t>
  </si>
  <si>
    <t xml:space="preserve">fixed</t>
  </si>
  <si>
    <t xml:space="preserve">Apps: OK to link every live one? Screenshots for the private ones (Story AI, Gmail Agent)?</t>
  </si>
  <si>
    <t xml:space="preserve">A1–A13</t>
  </si>
  <si>
    <t xml:space="preserve">yes ill get you the links that are live dummy ones and mark if not</t>
  </si>
  <si>
    <t xml:space="preserve">OK to name Jaylee and Helga on the site?</t>
  </si>
  <si>
    <t xml:space="preserve">A4, About</t>
  </si>
  <si>
    <t xml:space="preserve">Yes name them and we can put photo!</t>
  </si>
  <si>
    <t xml:space="preserve">Contact on the site: email, LinkedIn (linkedin.com/in/grant-t-sacco), both?</t>
  </si>
  <si>
    <t xml:space="preserve">Contact card</t>
  </si>
  <si>
    <t xml:space="preserve">Both</t>
  </si>
  <si>
    <t xml:space="preserve">Use the headshot from the portfolio in About?</t>
  </si>
  <si>
    <t xml:space="preserve">Yes I can also give you another one if needed</t>
  </si>
  <si>
    <t xml:space="preserve">Future interests (roles, industries, places, technologies).</t>
  </si>
  <si>
    <t xml:space="preserve">no</t>
  </si>
  <si>
    <t xml:space="preserve">PMP: year earned. HOA board: keep or drop?</t>
  </si>
  <si>
    <t xml:space="preserve">R7, R8</t>
  </si>
  <si>
    <t xml:space="preserve">PMP don’t add and HOA don’t add this is not a reume</t>
  </si>
  <si>
    <t xml:space="preserve">I don't have the country list itself: it was in an earlier conversation. Paste it and I'll verify the count and put every country on the map.</t>
  </si>
  <si>
    <t xml:space="preserve">Received: 34 countries (count verified). All on the map; see the Countries sheet.</t>
  </si>
  <si>
    <t xml:space="preserve">Only Austin was confirmed. Are Lawrence 2014–18, Chicago 2018–19, Milan 2019–21 and Dallas 2021–25 right?</t>
  </si>
  <si>
    <t xml:space="preserve">P2–P5</t>
  </si>
  <si>
    <t xml:space="preserve">Yes (and Wilmette before Lawrence)</t>
  </si>
  <si>
    <t xml:space="preserve">Enovis budget: you changed it to &gt;$20M; your resume still says &gt;$10M.</t>
  </si>
  <si>
    <t xml:space="preserve">E1, resume</t>
  </si>
  <si>
    <t xml:space="preserve">$10M is fine: reverted to &gt;$10M</t>
  </si>
  <si>
    <t xml:space="preserve">Factory digital twin (A14): what does it model, what is it built with, when, is there a link or screenshots, and is it personal or tied to an employer?</t>
  </si>
  <si>
    <t xml:space="preserve">A14, Apps</t>
  </si>
  <si>
    <t xml:space="preserve">About is now a calendar wheel (rings = year, angle = month). Start months for: KU, piano-pedal device, Formula SAE, MAPEI SpA, MAPEI Corp (Chicago and Dallas), OnlyChargeEV, the facility build-out. Only Enovis (April 2025) is known; the rest are placeholders.</t>
  </si>
  <si>
    <t xml:space="preserve">Races: was the Austin Marathon the full 26.2 or the half? Which month was IRONMAN 70.3 Texas (April is the placeholder)?</t>
  </si>
  <si>
    <t xml:space="preserve">Austin Marathon: the full 26.2. IRONMAN month still open (April placeholder).</t>
  </si>
  <si>
    <t xml:space="preserve">Origin card (click "Grant" in About): which email should it show? (The repo is public, so the address will be visible to scrapers; a forwarding address is an option.) Also: send the headshot, and edit the two draft sentences if you like.</t>
  </si>
  <si>
    <t xml:space="preserve">About, contact</t>
  </si>
  <si>
    <t xml:space="preserve">Liquid admixtures plant (E7): can you send its 3D model (GLB, like the dry mix plant) or snapshots? It would get the same live model, still and About turntable.</t>
  </si>
  <si>
    <t xml:space="preserve">E7, 3D models</t>
  </si>
  <si>
    <t xml:space="preserve">Same facility as the dry mix plant: the MAPEI Houston model (v12) is used for it, with the plant building lit.</t>
  </si>
  <si>
    <t xml:space="preserve">The dry mix plant now sits in About (2022 ring, March placeholder) so its 3D tile can turn on hover. Keep it there, and which month did it start?</t>
  </si>
  <si>
    <t xml:space="preserve">E3, About</t>
  </si>
  <si>
    <t xml:space="preserve">MAPEI Houston zone names (v12): "Silo &amp; mixing tower", "Production &amp; warehouse" (packaging and the admixtures plant inside), "Offices", "Site". Rename any?</t>
  </si>
  <si>
    <t xml:space="preserve">E3, 3D model</t>
  </si>
  <si>
    <t xml:space="preserve">MPOC: your Pascal handoff traces the real floor plan (rooms, names, drawing references). The public repo only uses its proportions and block layout. Do you want the detailed layout shown on the site (it would be public)?</t>
  </si>
  <si>
    <t xml:space="preserve">E1, E2, 3D model</t>
  </si>
  <si>
    <t xml:space="preserve">MPOC: where is the additive &amp; subtractive manufacturing lab? It is placed at the east end, behind the offices, as a guess.</t>
  </si>
  <si>
    <t xml:space="preserve">E2, 3D model</t>
  </si>
  <si>
    <t xml:space="preserve">MAPEI Houston: where inside the building is the liquid admixtures plant (and any outdoor tanks)? It could get its own zone.</t>
  </si>
  <si>
    <t xml:space="preserve">E7, 3D model</t>
  </si>
  <si>
    <t xml:space="preserve">Clean pack &amp; sterilization: should it be its own project tile (it would open the MPOC model with that zone lit), or stay part of the facility build-out?</t>
  </si>
  <si>
    <t xml:space="preserve">E1, 3D model</t>
  </si>
  <si>
    <t xml:space="preserve">Pedal photos: the ones you sent are thumbnails; the portfolio copies used are still small (largest 558 px). Larger originals? Also: the photo with the pianist shows her (a teen at the time) and her home; OK on the public site?</t>
  </si>
  <si>
    <t xml:space="preserve">U2, photos</t>
  </si>
  <si>
    <t xml:space="preserve">Photos for other projects: send them and they go in the same photo viewer. The portfolio already has Formula SAE photos (car, battery box, motor controller). Add those?</t>
  </si>
  <si>
    <t xml:space="preserve">U1, photos</t>
  </si>
  <si>
    <t xml:space="preserve">Racecar: cover is the render, the rain photo is in the photo viewer, plus the video link.</t>
  </si>
  <si>
    <t xml:space="preserve">The portfolio has more MAPEI images: the Houston silo tower and plant interior photos, tower CAD, elevation, P&amp;ID, the static mixer (photo and drawing) and the Houston building. Add them to the dry mix, static mixing and site development photo viewers? Larger originals of the palletizer images (345 px) would also look sharper.</t>
  </si>
  <si>
    <t xml:space="preserve">E3, E4, E5, E6, photos</t>
  </si>
  <si>
    <t xml:space="preserve">Yes: dry mix plant (tower and interior photos) and static mixing (mixer photo and piping drawing). Site development stays as it is.</t>
  </si>
</sst>
</file>

<file path=xl/styles.xml><?xml version="1.0" encoding="utf-8"?>
<styleSheet xmlns="http://schemas.openxmlformats.org/spreadsheetml/2006/main">
  <numFmts count="2">
    <numFmt numFmtId="164" formatCode="General"/>
    <numFmt numFmtId="165" formatCode="General"/>
  </numFmts>
  <fonts count="1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color rgb="FFC2552D"/>
      <name val="Arial"/>
      <family val="0"/>
      <charset val="1"/>
    </font>
    <font>
      <b val="true"/>
      <sz val="10"/>
      <name val="Arial"/>
      <family val="0"/>
      <charset val="1"/>
    </font>
    <font>
      <b val="true"/>
      <sz val="10"/>
      <color rgb="FFFFFFFF"/>
      <name val="Arial"/>
      <family val="0"/>
      <charset val="1"/>
    </font>
    <font>
      <b val="true"/>
      <sz val="12"/>
      <color rgb="FFC2552D"/>
      <name val="Arial"/>
      <family val="0"/>
      <charset val="1"/>
    </font>
    <font>
      <b val="true"/>
      <sz val="12"/>
      <color rgb="FFE0362C"/>
      <name val="Arial"/>
      <family val="0"/>
      <charset val="1"/>
    </font>
    <font>
      <b val="true"/>
      <sz val="12"/>
      <color rgb="FF2D5B88"/>
      <name val="Arial"/>
      <family val="0"/>
      <charset val="1"/>
    </font>
    <font>
      <b val="true"/>
      <sz val="12"/>
      <color rgb="FFFF6A1A"/>
      <name val="Arial"/>
      <family val="0"/>
      <charset val="1"/>
    </font>
    <font>
      <b val="true"/>
      <sz val="12"/>
      <color rgb="FF2FA36B"/>
      <name val="Arial"/>
      <family val="0"/>
      <charset val="1"/>
    </font>
    <font>
      <b val="true"/>
      <sz val="12"/>
      <color rgb="FFB8913F"/>
      <name val="Arial"/>
      <family val="0"/>
      <charset val="1"/>
    </font>
    <font>
      <u val="single"/>
      <sz val="10"/>
      <color rgb="FF0563C1"/>
      <name val="Arial"/>
      <family val="0"/>
      <charset val="1"/>
    </font>
    <font>
      <sz val="10"/>
      <name val="Arial"/>
      <family val="2"/>
    </font>
    <font>
      <sz val="10"/>
      <color rgb="FF0000FF"/>
      <name val="Arial"/>
      <family val="0"/>
      <charset val="1"/>
    </font>
    <font>
      <sz val="9"/>
      <color rgb="FF6F6C66"/>
      <name val="Arial"/>
      <family val="0"/>
      <charset val="1"/>
    </font>
  </fonts>
  <fills count="11">
    <fill>
      <patternFill patternType="none"/>
    </fill>
    <fill>
      <patternFill patternType="gray125"/>
    </fill>
    <fill>
      <patternFill patternType="solid">
        <fgColor rgb="FF1F1D1A"/>
        <bgColor rgb="FF333300"/>
      </patternFill>
    </fill>
    <fill>
      <patternFill patternType="solid">
        <fgColor rgb="FFC2552D"/>
        <bgColor rgb="FFE0362C"/>
      </patternFill>
    </fill>
    <fill>
      <patternFill patternType="solid">
        <fgColor rgb="FFE0362C"/>
        <bgColor rgb="FFC2552D"/>
      </patternFill>
    </fill>
    <fill>
      <patternFill patternType="solid">
        <fgColor rgb="FFFF6A1A"/>
        <bgColor rgb="FFFF9900"/>
      </patternFill>
    </fill>
    <fill>
      <patternFill patternType="solid">
        <fgColor rgb="FFB8913F"/>
        <bgColor rgb="FF808000"/>
      </patternFill>
    </fill>
    <fill>
      <patternFill patternType="solid">
        <fgColor rgb="FF2D5B88"/>
        <bgColor rgb="FF0563C1"/>
      </patternFill>
    </fill>
    <fill>
      <patternFill patternType="solid">
        <fgColor rgb="FF2FA36B"/>
        <bgColor rgb="FF008080"/>
      </patternFill>
    </fill>
    <fill>
      <patternFill patternType="solid">
        <fgColor rgb="FFECE8E1"/>
        <bgColor rgb="FFFFF6D6"/>
      </patternFill>
    </fill>
    <fill>
      <patternFill patternType="solid">
        <fgColor rgb="FFFFF6D6"/>
        <bgColor rgb="FFFFFFFF"/>
      </patternFill>
    </fill>
  </fills>
  <borders count="2">
    <border diagonalUp="false" diagonalDown="false">
      <left/>
      <right/>
      <top/>
      <bottom/>
      <diagonal/>
    </border>
    <border diagonalUp="false" diagonalDown="false">
      <left/>
      <right/>
      <top/>
      <bottom style="thin">
        <color rgb="FFD9D4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8" fillId="4" borderId="0" xfId="0" applyFont="true" applyBorder="false" applyAlignment="true" applyProtection="false">
      <alignment horizontal="center" vertical="center" textRotation="0" wrapText="true" indent="0" shrinkToFit="false"/>
      <protection locked="true" hidden="false"/>
    </xf>
    <xf numFmtId="164" fontId="8" fillId="5" borderId="0" xfId="0" applyFont="true" applyBorder="false" applyAlignment="true" applyProtection="false">
      <alignment horizontal="center" vertical="center" textRotation="0" wrapText="true" indent="0" shrinkToFit="false"/>
      <protection locked="true" hidden="false"/>
    </xf>
    <xf numFmtId="164" fontId="8" fillId="6" borderId="0" xfId="0" applyFont="true" applyBorder="false" applyAlignment="true" applyProtection="false">
      <alignment horizontal="center" vertical="center" textRotation="0" wrapText="true" indent="0" shrinkToFit="false"/>
      <protection locked="true" hidden="false"/>
    </xf>
    <xf numFmtId="164" fontId="8" fillId="7" borderId="0" xfId="0" applyFont="true" applyBorder="false" applyAlignment="true" applyProtection="false">
      <alignment horizontal="center" vertical="center" textRotation="0" wrapText="true" indent="0" shrinkToFit="false"/>
      <protection locked="true" hidden="false"/>
    </xf>
    <xf numFmtId="164" fontId="8" fillId="8" borderId="0" xfId="0" applyFont="true" applyBorder="false" applyAlignment="true" applyProtection="false">
      <alignment horizontal="center" vertical="center" textRotation="0" wrapText="true" indent="0" shrinkToFit="false"/>
      <protection locked="true" hidden="false"/>
    </xf>
    <xf numFmtId="164" fontId="7" fillId="9" borderId="0" xfId="0" applyFont="true" applyBorder="false" applyAlignment="true" applyProtection="false">
      <alignment horizontal="general" vertical="bottom" textRotation="0" wrapText="fals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center" vertical="top" textRotation="0" wrapText="false" indent="0" shrinkToFit="false"/>
      <protection locked="true" hidden="false"/>
    </xf>
    <xf numFmtId="164" fontId="10" fillId="10" borderId="1" xfId="0" applyFont="true" applyBorder="true" applyAlignment="true" applyProtection="false">
      <alignment horizontal="center" vertical="top" textRotation="0" wrapText="false" indent="0" shrinkToFit="false"/>
      <protection locked="true" hidden="false"/>
    </xf>
    <xf numFmtId="164" fontId="5" fillId="10" borderId="1" xfId="0" applyFont="true" applyBorder="true" applyAlignment="true" applyProtection="false">
      <alignment horizontal="center" vertical="top" textRotation="0" wrapText="fals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1" fillId="10" borderId="1" xfId="0" applyFont="true" applyBorder="true" applyAlignment="true" applyProtection="false">
      <alignment horizontal="center" vertical="top" textRotation="0" wrapText="false" indent="0" shrinkToFit="false"/>
      <protection locked="true" hidden="false"/>
    </xf>
    <xf numFmtId="164" fontId="12" fillId="10" borderId="1" xfId="0" applyFont="true" applyBorder="true" applyAlignment="true" applyProtection="false">
      <alignment horizontal="center" vertical="top" textRotation="0" wrapText="false" indent="0" shrinkToFit="false"/>
      <protection locked="true" hidden="false"/>
    </xf>
    <xf numFmtId="164" fontId="13" fillId="10" borderId="1" xfId="0" applyFont="true" applyBorder="true" applyAlignment="true" applyProtection="false">
      <alignment horizontal="center" vertical="top" textRotation="0" wrapText="false" indent="0" shrinkToFit="false"/>
      <protection locked="true" hidden="false"/>
    </xf>
    <xf numFmtId="164" fontId="14" fillId="10" borderId="1" xfId="0" applyFont="true" applyBorder="true" applyAlignment="true" applyProtection="false">
      <alignment horizontal="center" vertical="top"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5" fillId="1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1D1A"/>
          <bgColor rgb="FF000000"/>
        </patternFill>
      </fill>
    </dxf>
    <dxf>
      <fill>
        <patternFill patternType="solid">
          <fgColor rgb="FFECE8E1"/>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563C1"/>
          <bgColor rgb="FF000000"/>
        </patternFill>
      </fill>
    </dxf>
    <dxf>
      <fill>
        <patternFill patternType="solid">
          <fgColor rgb="FFC2552D"/>
          <bgColor rgb="FF000000"/>
        </patternFill>
      </fill>
    </dxf>
    <dxf>
      <fill>
        <patternFill patternType="solid">
          <fgColor rgb="FFFFF6D6"/>
          <bgColor rgb="FF000000"/>
        </patternFill>
      </fill>
    </dxf>
    <dxf>
      <fill>
        <patternFill patternType="solid">
          <fgColor rgb="FFE0362C"/>
          <bgColor rgb="FF000000"/>
        </patternFill>
      </fill>
    </dxf>
    <dxf>
      <fill>
        <patternFill patternType="solid">
          <fgColor rgb="FFFF6A1A"/>
          <bgColor rgb="FF000000"/>
        </patternFill>
      </fill>
    </dxf>
    <dxf>
      <fill>
        <patternFill patternType="solid">
          <fgColor rgb="FFB8913F"/>
          <bgColor rgb="FF000000"/>
        </patternFill>
      </fill>
    </dxf>
    <dxf>
      <fill>
        <patternFill patternType="solid">
          <fgColor rgb="FF2D5B88"/>
          <bgColor rgb="FF000000"/>
        </patternFill>
      </fill>
    </dxf>
    <dxf>
      <fill>
        <patternFill patternType="solid">
          <fgColor rgb="FF2FA36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E0362C"/>
      <rgbColor rgb="FFFFF6D6"/>
      <rgbColor rgb="FFCCFFFF"/>
      <rgbColor rgb="FF660066"/>
      <rgbColor rgb="FFFF8080"/>
      <rgbColor rgb="FF0563C1"/>
      <rgbColor rgb="FFD9D4CA"/>
      <rgbColor rgb="FF000080"/>
      <rgbColor rgb="FFFF00FF"/>
      <rgbColor rgb="FFFFFF00"/>
      <rgbColor rgb="FF00FFFF"/>
      <rgbColor rgb="FF800080"/>
      <rgbColor rgb="FF800000"/>
      <rgbColor rgb="FF008080"/>
      <rgbColor rgb="FF0000FF"/>
      <rgbColor rgb="FF00CCFF"/>
      <rgbColor rgb="FFCCFFFF"/>
      <rgbColor rgb="FFECE8E1"/>
      <rgbColor rgb="FFFFFF99"/>
      <rgbColor rgb="FF99CCFF"/>
      <rgbColor rgb="FFFF99CC"/>
      <rgbColor rgb="FFCC99FF"/>
      <rgbColor rgb="FFFFCC99"/>
      <rgbColor rgb="FF3366FF"/>
      <rgbColor rgb="FF33CCCC"/>
      <rgbColor rgb="FF99CC00"/>
      <rgbColor rgb="FFFFCC00"/>
      <rgbColor rgb="FFFF9900"/>
      <rgbColor rgb="FFFF6A1A"/>
      <rgbColor rgb="FF6F6C66"/>
      <rgbColor rgb="FFB8913F"/>
      <rgbColor rgb="FF003366"/>
      <rgbColor rgb="FF2FA36B"/>
      <rgbColor rgb="FF003300"/>
      <rgbColor rgb="FF333300"/>
      <rgbColor rgb="FFC2552D"/>
      <rgbColor rgb="FF993366"/>
      <rgbColor rgb="FF2D5B88"/>
      <rgbColor rgb="FF1F1D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contact-flow-web.vercel.app/" TargetMode="External"/><Relationship Id="rId3" Type="http://schemas.openxmlformats.org/officeDocument/2006/relationships/hyperlink" Target="https://job-paper.vercel.app/" TargetMode="External"/><Relationship Id="rId4" Type="http://schemas.openxmlformats.org/officeDocument/2006/relationships/hyperlink" Target="https://collateral-damage.vercel.app/" TargetMode="External"/><Relationship Id="rId5" Type="http://schemas.openxmlformats.org/officeDocument/2006/relationships/hyperlink" Target="https://jaylee-app.vercel.app/" TargetMode="External"/><Relationship Id="rId6" Type="http://schemas.openxmlformats.org/officeDocument/2006/relationships/hyperlink" Target="https://gradient-ui.vercel.app/" TargetMode="External"/><Relationship Id="rId7" Type="http://schemas.openxmlformats.org/officeDocument/2006/relationships/hyperlink" Target="https://gold-star-man.vercel.app/" TargetMode="External"/><Relationship Id="rId8" Type="http://schemas.openxmlformats.org/officeDocument/2006/relationships/hyperlink" Target="https://luminous-horse-8a5278.netlify.app/" TargetMode="External"/><Relationship Id="rId9" Type="http://schemas.openxmlformats.org/officeDocument/2006/relationships/hyperlink" Target="https://strong-paletas-d76f45.netlify.app/" TargetMode="External"/><Relationship Id="rId10" Type="http://schemas.openxmlformats.org/officeDocument/2006/relationships/drawing" Target="../drawings/drawing1.xml"/><Relationship Id="rId11"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8.6328125" defaultRowHeight="14.25" zeroHeight="false" outlineLevelRow="0" outlineLevelCol="0"/>
  <cols>
    <col collapsed="false" customWidth="true" hidden="false" outlineLevel="0" max="1" min="1" style="1" width="120"/>
  </cols>
  <sheetData>
    <row r="1" customFormat="false" ht="18" hidden="false" customHeight="true" outlineLevel="0" collapsed="false">
      <c r="A1" s="2" t="s">
        <v>0</v>
      </c>
    </row>
    <row r="2" customFormat="false" ht="14.25" hidden="false" customHeight="true" outlineLevel="0" collapsed="false">
      <c r="A2" s="3" t="s">
        <v>1</v>
      </c>
    </row>
    <row r="3" customFormat="false" ht="14.25" hidden="false" customHeight="true" outlineLevel="0" collapsed="false">
      <c r="A3" s="4" t="s">
        <v>2</v>
      </c>
    </row>
    <row r="4" customFormat="false" ht="23.25" hidden="false" customHeight="true" outlineLevel="0" collapsed="false">
      <c r="A4" s="3" t="s">
        <v>3</v>
      </c>
    </row>
    <row r="5" customFormat="false" ht="23.25" hidden="false" customHeight="true" outlineLevel="0" collapsed="false">
      <c r="A5" s="3" t="s">
        <v>4</v>
      </c>
    </row>
    <row r="6" customFormat="false" ht="14.25" hidden="false" customHeight="true" outlineLevel="0" collapsed="false">
      <c r="A6" s="3" t="s">
        <v>5</v>
      </c>
    </row>
    <row r="7" customFormat="false" ht="23.25" hidden="false" customHeight="true" outlineLevel="0" collapsed="false">
      <c r="A7" s="3" t="s">
        <v>6</v>
      </c>
    </row>
    <row r="9" customFormat="false" ht="14.25" hidden="false" customHeight="true" outlineLevel="0" collapsed="false">
      <c r="A9" s="3"/>
    </row>
    <row r="10" customFormat="false" ht="14.25" hidden="false" customHeight="true" outlineLevel="0" collapsed="false">
      <c r="A10" s="5" t="s">
        <v>7</v>
      </c>
    </row>
    <row r="11" customFormat="false" ht="14.25" hidden="false" customHeight="true" outlineLevel="0" collapsed="false">
      <c r="A11" s="3" t="s">
        <v>8</v>
      </c>
    </row>
    <row r="12" customFormat="false" ht="14.25" hidden="false" customHeight="true" outlineLevel="0" collapsed="false">
      <c r="A12" s="3" t="s">
        <v>9</v>
      </c>
    </row>
    <row r="13" customFormat="false" ht="14.25" hidden="false" customHeight="true" outlineLevel="0" collapsed="false">
      <c r="A13" s="3" t="s">
        <v>10</v>
      </c>
    </row>
    <row r="14" customFormat="false" ht="14.25" hidden="false" customHeight="true" outlineLevel="0" collapsed="false">
      <c r="A14" s="3" t="s">
        <v>11</v>
      </c>
    </row>
    <row r="15" customFormat="false" ht="14.25" hidden="false" customHeight="true" outlineLevel="0" collapsed="false">
      <c r="A15" s="3" t="s">
        <v>12</v>
      </c>
    </row>
    <row r="16" customFormat="false" ht="14.25" hidden="false" customHeight="true" outlineLevel="0" collapsed="false">
      <c r="A16" s="3" t="s">
        <v>13</v>
      </c>
    </row>
    <row r="17" customFormat="false" ht="14.25" hidden="false" customHeight="true" outlineLevel="0" collapsed="false">
      <c r="A17" s="3" t="s">
        <v>14</v>
      </c>
    </row>
    <row r="18" customFormat="false" ht="14.25" hidden="false" customHeight="true" outlineLevel="0" collapsed="false">
      <c r="A18" s="3"/>
    </row>
    <row r="19" customFormat="false" ht="14.25" hidden="false" customHeight="true" outlineLevel="0" collapsed="false">
      <c r="A19" s="5" t="s">
        <v>15</v>
      </c>
    </row>
    <row r="20" customFormat="false" ht="14.25" hidden="false" customHeight="true" outlineLevel="0" collapsed="false">
      <c r="A20" s="3" t="s">
        <v>16</v>
      </c>
    </row>
    <row r="21" customFormat="false" ht="14.25" hidden="false" customHeight="true" outlineLevel="0" collapsed="false">
      <c r="A21" s="3" t="s">
        <v>17</v>
      </c>
    </row>
    <row r="22" customFormat="false" ht="24.75" hidden="false" customHeight="true" outlineLevel="0" collapsed="false">
      <c r="A22" s="3" t="s">
        <v>18</v>
      </c>
    </row>
    <row r="23" customFormat="false" ht="14.25" hidden="false" customHeight="true" outlineLevel="0" collapsed="false">
      <c r="A23" s="3" t="s">
        <v>19</v>
      </c>
    </row>
    <row r="24" customFormat="false" ht="14.25" hidden="false" customHeight="true" outlineLevel="0" collapsed="false">
      <c r="A24" s="3"/>
    </row>
    <row r="25" customFormat="false" ht="14.25" hidden="false" customHeight="true" outlineLevel="0" collapsed="false">
      <c r="A25" s="5" t="s">
        <v>20</v>
      </c>
    </row>
    <row r="26" customFormat="false" ht="14.25" hidden="false" customHeight="true" outlineLevel="0" collapsed="false">
      <c r="A26" s="3" t="s">
        <v>21</v>
      </c>
    </row>
    <row r="27" customFormat="false" ht="14.25" hidden="false" customHeight="true" outlineLevel="0" collapsed="false">
      <c r="A27" s="3"/>
    </row>
    <row r="28" customFormat="false" ht="23.25" hidden="false" customHeight="true" outlineLevel="0" collapsed="false">
      <c r="A28" s="5" t="s">
        <v>22</v>
      </c>
    </row>
    <row r="29" customFormat="false" ht="23.25" hidden="false" customHeight="true" outlineLevel="0" collapsed="false">
      <c r="A29" s="3"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5"/>
  <sheetViews>
    <sheetView showFormulas="false" showGridLines="true" showRowColHeaders="true" showZeros="true" rightToLeft="false" tabSelected="false" showOutlineSymbols="true" defaultGridColor="true" view="normal" topLeftCell="A1" colorId="64" zoomScale="89" zoomScaleNormal="89" zoomScalePageLayoutView="100" workbookViewId="0">
      <pane xSplit="2" ySplit="1" topLeftCell="K35" activePane="bottomRight" state="frozen"/>
      <selection pane="topLeft" activeCell="A1" activeCellId="0" sqref="A1"/>
      <selection pane="topRight" activeCell="K1" activeCellId="0" sqref="K1"/>
      <selection pane="bottomLeft" activeCell="A35" activeCellId="0" sqref="A35"/>
      <selection pane="bottomRight" activeCell="I48" activeCellId="0" sqref="I48"/>
    </sheetView>
  </sheetViews>
  <sheetFormatPr defaultColWidth="8.6328125" defaultRowHeight="14.2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5"/>
    <col collapsed="false" customWidth="true" hidden="false" outlineLevel="0" max="4" min="4" style="1" width="22"/>
    <col collapsed="false" customWidth="true" hidden="false" outlineLevel="0" max="5" min="5" style="1" width="18"/>
    <col collapsed="false" customWidth="true" hidden="false" outlineLevel="0" max="7" min="6" style="1" width="9"/>
    <col collapsed="false" customWidth="true" hidden="false" outlineLevel="0" max="9" min="8" style="1" width="46"/>
    <col collapsed="false" customWidth="true" hidden="false" outlineLevel="0" max="10" min="10" style="1" width="30"/>
    <col collapsed="false" customWidth="true" hidden="false" outlineLevel="0" max="11" min="11" style="1" width="26"/>
    <col collapsed="false" customWidth="true" hidden="false" outlineLevel="0" max="12" min="12" style="1" width="8"/>
    <col collapsed="false" customWidth="true" hidden="false" outlineLevel="0" max="13" min="13" style="1" width="11"/>
    <col collapsed="false" customWidth="true" hidden="false" outlineLevel="0" max="14" min="14" style="1" width="9"/>
    <col collapsed="false" customWidth="true" hidden="false" outlineLevel="0" max="15" min="15" style="1" width="7"/>
    <col collapsed="false" customWidth="true" hidden="false" outlineLevel="0" max="16" min="16" style="1" width="8"/>
    <col collapsed="false" customWidth="true" hidden="false" outlineLevel="0" max="17" min="17" style="1" width="7"/>
    <col collapsed="false" customWidth="true" hidden="false" outlineLevel="0" max="18" min="18" style="1" width="10"/>
    <col collapsed="false" customWidth="true" hidden="false" outlineLevel="0" max="19" min="19" style="1" width="22"/>
    <col collapsed="false" customWidth="true" hidden="false" outlineLevel="0" max="20" min="20" style="1" width="18"/>
    <col collapsed="false" customWidth="true" hidden="false" outlineLevel="0" max="21" min="21" style="1" width="26"/>
    <col collapsed="false" customWidth="true" hidden="false" outlineLevel="0" max="22" min="22" style="1" width="36"/>
    <col collapsed="false" customWidth="true" hidden="false" outlineLevel="0" max="23" min="23" style="1" width="18"/>
  </cols>
  <sheetData>
    <row r="1" customFormat="false" ht="30" hidden="false" customHeight="true" outlineLevel="0" collapsed="false">
      <c r="A1" s="6" t="s">
        <v>24</v>
      </c>
      <c r="B1" s="6" t="s">
        <v>25</v>
      </c>
      <c r="C1" s="6" t="s">
        <v>26</v>
      </c>
      <c r="D1" s="6" t="s">
        <v>27</v>
      </c>
      <c r="E1" s="6" t="s">
        <v>28</v>
      </c>
      <c r="F1" s="6" t="s">
        <v>29</v>
      </c>
      <c r="G1" s="6" t="s">
        <v>30</v>
      </c>
      <c r="H1" s="6" t="s">
        <v>31</v>
      </c>
      <c r="I1" s="6" t="s">
        <v>32</v>
      </c>
      <c r="J1" s="6" t="s">
        <v>33</v>
      </c>
      <c r="K1" s="6" t="s">
        <v>34</v>
      </c>
      <c r="L1" s="7" t="s">
        <v>35</v>
      </c>
      <c r="M1" s="8" t="s">
        <v>36</v>
      </c>
      <c r="N1" s="9" t="s">
        <v>37</v>
      </c>
      <c r="O1" s="10" t="s">
        <v>38</v>
      </c>
      <c r="P1" s="11" t="s">
        <v>39</v>
      </c>
      <c r="Q1" s="12" t="s">
        <v>40</v>
      </c>
      <c r="R1" s="6" t="s">
        <v>41</v>
      </c>
      <c r="S1" s="6" t="s">
        <v>42</v>
      </c>
      <c r="T1" s="6" t="s">
        <v>43</v>
      </c>
      <c r="U1" s="6" t="s">
        <v>44</v>
      </c>
      <c r="V1" s="6" t="s">
        <v>45</v>
      </c>
      <c r="W1" s="6" t="s">
        <v>46</v>
      </c>
    </row>
    <row r="2" customFormat="false" ht="14.25" hidden="false" customHeight="true" outlineLevel="0" collapsed="false">
      <c r="A2" s="13" t="s">
        <v>47</v>
      </c>
      <c r="B2" s="14"/>
      <c r="C2" s="14"/>
      <c r="D2" s="14"/>
      <c r="E2" s="14"/>
      <c r="F2" s="14"/>
      <c r="G2" s="14"/>
      <c r="H2" s="14"/>
      <c r="I2" s="14"/>
      <c r="J2" s="14"/>
      <c r="K2" s="14"/>
      <c r="L2" s="14"/>
      <c r="M2" s="14"/>
      <c r="N2" s="14"/>
      <c r="O2" s="14"/>
      <c r="P2" s="14"/>
      <c r="Q2" s="14"/>
      <c r="R2" s="14"/>
      <c r="S2" s="14"/>
      <c r="T2" s="14"/>
      <c r="U2" s="14"/>
      <c r="V2" s="14"/>
      <c r="W2" s="14"/>
    </row>
    <row r="3" customFormat="false" ht="39" hidden="false" customHeight="true" outlineLevel="0" collapsed="false">
      <c r="A3" s="15" t="s">
        <v>48</v>
      </c>
      <c r="B3" s="16" t="s">
        <v>49</v>
      </c>
      <c r="C3" s="17" t="s">
        <v>50</v>
      </c>
      <c r="D3" s="17" t="s">
        <v>51</v>
      </c>
      <c r="E3" s="17" t="s">
        <v>52</v>
      </c>
      <c r="F3" s="15" t="s">
        <v>53</v>
      </c>
      <c r="G3" s="15" t="s">
        <v>54</v>
      </c>
      <c r="H3" s="17" t="s">
        <v>55</v>
      </c>
      <c r="I3" s="17" t="s">
        <v>56</v>
      </c>
      <c r="J3" s="17" t="s">
        <v>57</v>
      </c>
      <c r="K3" s="17"/>
      <c r="L3" s="18" t="s">
        <v>58</v>
      </c>
      <c r="M3" s="19" t="s">
        <v>59</v>
      </c>
      <c r="N3" s="20"/>
      <c r="O3" s="20"/>
      <c r="P3" s="20"/>
      <c r="Q3" s="20"/>
      <c r="R3" s="20" t="s">
        <v>60</v>
      </c>
      <c r="S3" s="17" t="s">
        <v>61</v>
      </c>
      <c r="T3" s="17" t="s">
        <v>62</v>
      </c>
      <c r="U3" s="17" t="s">
        <v>63</v>
      </c>
      <c r="V3" s="21" t="s">
        <v>64</v>
      </c>
      <c r="W3" s="17" t="s">
        <v>65</v>
      </c>
    </row>
    <row r="4" customFormat="false" ht="25.5" hidden="false" customHeight="true" outlineLevel="0" collapsed="false">
      <c r="A4" s="15" t="s">
        <v>66</v>
      </c>
      <c r="B4" s="16" t="s">
        <v>67</v>
      </c>
      <c r="C4" s="17" t="s">
        <v>50</v>
      </c>
      <c r="D4" s="17" t="s">
        <v>68</v>
      </c>
      <c r="E4" s="17" t="s">
        <v>69</v>
      </c>
      <c r="F4" s="15" t="s">
        <v>70</v>
      </c>
      <c r="G4" s="15" t="s">
        <v>71</v>
      </c>
      <c r="H4" s="17" t="s">
        <v>72</v>
      </c>
      <c r="I4" s="17" t="s">
        <v>73</v>
      </c>
      <c r="J4" s="17" t="s">
        <v>74</v>
      </c>
      <c r="K4" s="17"/>
      <c r="L4" s="18" t="s">
        <v>58</v>
      </c>
      <c r="M4" s="19" t="s">
        <v>59</v>
      </c>
      <c r="N4" s="20"/>
      <c r="O4" s="20"/>
      <c r="P4" s="20"/>
      <c r="Q4" s="20"/>
      <c r="R4" s="20" t="s">
        <v>60</v>
      </c>
      <c r="S4" s="17" t="s">
        <v>61</v>
      </c>
      <c r="T4" s="17" t="s">
        <v>62</v>
      </c>
      <c r="U4" s="17" t="s">
        <v>75</v>
      </c>
      <c r="V4" s="21" t="s">
        <v>76</v>
      </c>
      <c r="W4" s="17" t="s">
        <v>65</v>
      </c>
    </row>
    <row r="5" customFormat="false" ht="24.75" hidden="false" customHeight="true" outlineLevel="0" collapsed="false">
      <c r="A5" s="15" t="s">
        <v>77</v>
      </c>
      <c r="B5" s="16" t="s">
        <v>78</v>
      </c>
      <c r="C5" s="17" t="s">
        <v>50</v>
      </c>
      <c r="D5" s="17" t="s">
        <v>79</v>
      </c>
      <c r="E5" s="17" t="s">
        <v>80</v>
      </c>
      <c r="F5" s="15" t="s">
        <v>81</v>
      </c>
      <c r="G5" s="15" t="s">
        <v>70</v>
      </c>
      <c r="H5" s="17" t="s">
        <v>82</v>
      </c>
      <c r="I5" s="17" t="s">
        <v>83</v>
      </c>
      <c r="J5" s="17"/>
      <c r="K5" s="17"/>
      <c r="L5" s="18" t="s">
        <v>58</v>
      </c>
      <c r="M5" s="19" t="s">
        <v>59</v>
      </c>
      <c r="N5" s="20"/>
      <c r="O5" s="20"/>
      <c r="P5" s="22" t="s">
        <v>59</v>
      </c>
      <c r="Q5" s="20"/>
      <c r="R5" s="20" t="s">
        <v>60</v>
      </c>
      <c r="S5" s="17" t="s">
        <v>84</v>
      </c>
      <c r="T5" s="17" t="s">
        <v>62</v>
      </c>
      <c r="U5" s="17" t="s">
        <v>85</v>
      </c>
      <c r="V5" s="21" t="s">
        <v>86</v>
      </c>
      <c r="W5" s="17" t="s">
        <v>65</v>
      </c>
    </row>
    <row r="6" customFormat="false" ht="25.5" hidden="false" customHeight="true" outlineLevel="0" collapsed="false">
      <c r="A6" s="15" t="s">
        <v>87</v>
      </c>
      <c r="B6" s="16" t="s">
        <v>88</v>
      </c>
      <c r="C6" s="17" t="s">
        <v>50</v>
      </c>
      <c r="D6" s="17" t="s">
        <v>68</v>
      </c>
      <c r="E6" s="17" t="s">
        <v>89</v>
      </c>
      <c r="F6" s="15" t="s">
        <v>90</v>
      </c>
      <c r="G6" s="15" t="s">
        <v>81</v>
      </c>
      <c r="H6" s="17" t="s">
        <v>91</v>
      </c>
      <c r="I6" s="17" t="s">
        <v>92</v>
      </c>
      <c r="J6" s="17"/>
      <c r="K6" s="17"/>
      <c r="L6" s="18" t="s">
        <v>58</v>
      </c>
      <c r="M6" s="20"/>
      <c r="N6" s="20"/>
      <c r="O6" s="20"/>
      <c r="P6" s="20"/>
      <c r="Q6" s="20"/>
      <c r="R6" s="20" t="s">
        <v>62</v>
      </c>
      <c r="S6" s="17" t="s">
        <v>61</v>
      </c>
      <c r="T6" s="17" t="s">
        <v>62</v>
      </c>
      <c r="U6" s="17" t="s">
        <v>85</v>
      </c>
      <c r="V6" s="21" t="s">
        <v>93</v>
      </c>
      <c r="W6" s="17" t="s">
        <v>65</v>
      </c>
    </row>
    <row r="7" customFormat="false" ht="37.5" hidden="false" customHeight="true" outlineLevel="0" collapsed="false">
      <c r="A7" s="15" t="s">
        <v>94</v>
      </c>
      <c r="B7" s="16" t="s">
        <v>95</v>
      </c>
      <c r="C7" s="17" t="s">
        <v>50</v>
      </c>
      <c r="D7" s="17" t="s">
        <v>96</v>
      </c>
      <c r="E7" s="17" t="s">
        <v>89</v>
      </c>
      <c r="F7" s="15" t="s">
        <v>97</v>
      </c>
      <c r="G7" s="15" t="s">
        <v>97</v>
      </c>
      <c r="H7" s="17" t="s">
        <v>98</v>
      </c>
      <c r="I7" s="17" t="s">
        <v>99</v>
      </c>
      <c r="J7" s="17" t="s">
        <v>100</v>
      </c>
      <c r="K7" s="17"/>
      <c r="L7" s="18" t="s">
        <v>58</v>
      </c>
      <c r="M7" s="20"/>
      <c r="N7" s="20"/>
      <c r="O7" s="20"/>
      <c r="P7" s="20"/>
      <c r="Q7" s="20"/>
      <c r="R7" s="20" t="s">
        <v>62</v>
      </c>
      <c r="S7" s="17" t="s">
        <v>61</v>
      </c>
      <c r="T7" s="17" t="s">
        <v>62</v>
      </c>
      <c r="U7" s="17" t="s">
        <v>101</v>
      </c>
      <c r="V7" s="21" t="s">
        <v>102</v>
      </c>
      <c r="W7" s="17" t="s">
        <v>65</v>
      </c>
    </row>
    <row r="8" customFormat="false" ht="37.5" hidden="false" customHeight="true" outlineLevel="0" collapsed="false">
      <c r="A8" s="15" t="s">
        <v>103</v>
      </c>
      <c r="B8" s="16" t="s">
        <v>104</v>
      </c>
      <c r="C8" s="17" t="s">
        <v>105</v>
      </c>
      <c r="D8" s="17" t="s">
        <v>106</v>
      </c>
      <c r="E8" s="17" t="s">
        <v>107</v>
      </c>
      <c r="F8" s="15" t="s">
        <v>108</v>
      </c>
      <c r="G8" s="15" t="s">
        <v>90</v>
      </c>
      <c r="H8" s="17" t="s">
        <v>109</v>
      </c>
      <c r="I8" s="17" t="s">
        <v>110</v>
      </c>
      <c r="J8" s="17"/>
      <c r="K8" s="17"/>
      <c r="L8" s="18" t="s">
        <v>58</v>
      </c>
      <c r="M8" s="20"/>
      <c r="N8" s="20"/>
      <c r="O8" s="20"/>
      <c r="P8" s="22" t="s">
        <v>59</v>
      </c>
      <c r="Q8" s="20"/>
      <c r="R8" s="20" t="s">
        <v>60</v>
      </c>
      <c r="S8" s="17" t="s">
        <v>61</v>
      </c>
      <c r="T8" s="17" t="s">
        <v>62</v>
      </c>
      <c r="U8" s="17" t="s">
        <v>111</v>
      </c>
      <c r="V8" s="21"/>
      <c r="W8" s="17" t="s">
        <v>65</v>
      </c>
    </row>
    <row r="9" customFormat="false" ht="15" hidden="false" customHeight="true" outlineLevel="0" collapsed="false">
      <c r="A9" s="15" t="s">
        <v>112</v>
      </c>
      <c r="B9" s="16" t="s">
        <v>113</v>
      </c>
      <c r="C9" s="17" t="s">
        <v>114</v>
      </c>
      <c r="D9" s="17" t="s">
        <v>115</v>
      </c>
      <c r="E9" s="17"/>
      <c r="F9" s="15"/>
      <c r="G9" s="15"/>
      <c r="H9" s="17" t="s">
        <v>116</v>
      </c>
      <c r="I9" s="17"/>
      <c r="J9" s="17"/>
      <c r="K9" s="17"/>
      <c r="L9" s="18" t="s">
        <v>58</v>
      </c>
      <c r="M9" s="20"/>
      <c r="N9" s="20"/>
      <c r="O9" s="20"/>
      <c r="P9" s="20"/>
      <c r="Q9" s="20"/>
      <c r="R9" s="20" t="s">
        <v>62</v>
      </c>
      <c r="S9" s="17" t="s">
        <v>117</v>
      </c>
      <c r="T9" s="17" t="s">
        <v>62</v>
      </c>
      <c r="U9" s="17" t="s">
        <v>101</v>
      </c>
      <c r="V9" s="21" t="s">
        <v>118</v>
      </c>
      <c r="W9" s="17" t="s">
        <v>65</v>
      </c>
    </row>
    <row r="10" customFormat="false" ht="24.75" hidden="false" customHeight="true" outlineLevel="0" collapsed="false">
      <c r="A10" s="15" t="s">
        <v>119</v>
      </c>
      <c r="B10" s="16" t="s">
        <v>120</v>
      </c>
      <c r="C10" s="17" t="s">
        <v>121</v>
      </c>
      <c r="D10" s="17" t="s">
        <v>122</v>
      </c>
      <c r="E10" s="17"/>
      <c r="F10" s="15"/>
      <c r="G10" s="15"/>
      <c r="H10" s="17" t="s">
        <v>123</v>
      </c>
      <c r="I10" s="17"/>
      <c r="J10" s="17"/>
      <c r="K10" s="17"/>
      <c r="L10" s="18" t="s">
        <v>59</v>
      </c>
      <c r="M10" s="20"/>
      <c r="N10" s="20"/>
      <c r="O10" s="20"/>
      <c r="P10" s="20"/>
      <c r="Q10" s="20"/>
      <c r="R10" s="20" t="s">
        <v>62</v>
      </c>
      <c r="S10" s="17" t="s">
        <v>124</v>
      </c>
      <c r="T10" s="17" t="s">
        <v>62</v>
      </c>
      <c r="U10" s="17" t="s">
        <v>101</v>
      </c>
      <c r="V10" s="21" t="s">
        <v>118</v>
      </c>
      <c r="W10" s="17" t="s">
        <v>65</v>
      </c>
    </row>
    <row r="11" customFormat="false" ht="14.25" hidden="false" customHeight="true" outlineLevel="0" collapsed="false">
      <c r="A11" s="13" t="s">
        <v>125</v>
      </c>
      <c r="B11" s="14"/>
      <c r="C11" s="14"/>
      <c r="D11" s="14"/>
      <c r="E11" s="14"/>
      <c r="F11" s="14"/>
      <c r="G11" s="14"/>
      <c r="H11" s="14"/>
      <c r="I11" s="14"/>
      <c r="J11" s="14"/>
      <c r="K11" s="14"/>
      <c r="L11" s="14"/>
      <c r="M11" s="14"/>
      <c r="N11" s="14"/>
      <c r="O11" s="14"/>
      <c r="P11" s="14"/>
      <c r="Q11" s="14"/>
      <c r="R11" s="14"/>
      <c r="S11" s="14"/>
      <c r="T11" s="14"/>
      <c r="U11" s="14"/>
      <c r="V11" s="14"/>
      <c r="W11" s="14"/>
    </row>
    <row r="12" customFormat="false" ht="37.5" hidden="false" customHeight="true" outlineLevel="0" collapsed="false">
      <c r="A12" s="15" t="s">
        <v>126</v>
      </c>
      <c r="B12" s="16" t="s">
        <v>127</v>
      </c>
      <c r="C12" s="17" t="s">
        <v>128</v>
      </c>
      <c r="D12" s="17" t="s">
        <v>51</v>
      </c>
      <c r="E12" s="17" t="s">
        <v>52</v>
      </c>
      <c r="F12" s="15" t="s">
        <v>53</v>
      </c>
      <c r="G12" s="15" t="s">
        <v>54</v>
      </c>
      <c r="H12" s="17" t="s">
        <v>129</v>
      </c>
      <c r="I12" s="17" t="s">
        <v>130</v>
      </c>
      <c r="J12" s="17" t="s">
        <v>131</v>
      </c>
      <c r="K12" s="17"/>
      <c r="L12" s="18" t="s">
        <v>59</v>
      </c>
      <c r="M12" s="19" t="s">
        <v>58</v>
      </c>
      <c r="N12" s="20"/>
      <c r="O12" s="20"/>
      <c r="P12" s="22" t="s">
        <v>59</v>
      </c>
      <c r="Q12" s="20"/>
      <c r="R12" s="20" t="s">
        <v>60</v>
      </c>
      <c r="S12" s="17" t="s">
        <v>132</v>
      </c>
      <c r="T12" s="17" t="s">
        <v>133</v>
      </c>
      <c r="U12" s="17" t="s">
        <v>134</v>
      </c>
      <c r="V12" s="21" t="s">
        <v>135</v>
      </c>
      <c r="W12" s="17" t="s">
        <v>65</v>
      </c>
    </row>
    <row r="13" customFormat="false" ht="49.5" hidden="false" customHeight="true" outlineLevel="0" collapsed="false">
      <c r="A13" s="15" t="s">
        <v>136</v>
      </c>
      <c r="B13" s="16" t="s">
        <v>137</v>
      </c>
      <c r="C13" s="17" t="s">
        <v>128</v>
      </c>
      <c r="D13" s="17" t="s">
        <v>51</v>
      </c>
      <c r="E13" s="17" t="s">
        <v>52</v>
      </c>
      <c r="F13" s="15" t="s">
        <v>53</v>
      </c>
      <c r="G13" s="15" t="s">
        <v>54</v>
      </c>
      <c r="H13" s="17" t="s">
        <v>138</v>
      </c>
      <c r="I13" s="17" t="s">
        <v>139</v>
      </c>
      <c r="J13" s="17" t="s">
        <v>140</v>
      </c>
      <c r="K13" s="17"/>
      <c r="L13" s="20"/>
      <c r="M13" s="19" t="s">
        <v>58</v>
      </c>
      <c r="N13" s="23" t="s">
        <v>59</v>
      </c>
      <c r="O13" s="20"/>
      <c r="P13" s="20"/>
      <c r="Q13" s="20"/>
      <c r="R13" s="20" t="s">
        <v>60</v>
      </c>
      <c r="S13" s="17" t="s">
        <v>141</v>
      </c>
      <c r="T13" s="17" t="s">
        <v>142</v>
      </c>
      <c r="U13" s="17" t="s">
        <v>143</v>
      </c>
      <c r="V13" s="21" t="s">
        <v>144</v>
      </c>
      <c r="W13" s="17" t="s">
        <v>65</v>
      </c>
    </row>
    <row r="14" customFormat="false" ht="37.5" hidden="false" customHeight="true" outlineLevel="0" collapsed="false">
      <c r="A14" s="15" t="s">
        <v>145</v>
      </c>
      <c r="B14" s="16" t="s">
        <v>146</v>
      </c>
      <c r="C14" s="17" t="s">
        <v>128</v>
      </c>
      <c r="D14" s="17" t="s">
        <v>147</v>
      </c>
      <c r="E14" s="17" t="s">
        <v>148</v>
      </c>
      <c r="F14" s="15"/>
      <c r="G14" s="15"/>
      <c r="H14" s="17" t="s">
        <v>149</v>
      </c>
      <c r="I14" s="17" t="s">
        <v>150</v>
      </c>
      <c r="J14" s="17" t="s">
        <v>151</v>
      </c>
      <c r="K14" s="17"/>
      <c r="L14" s="18" t="s">
        <v>59</v>
      </c>
      <c r="M14" s="19" t="s">
        <v>58</v>
      </c>
      <c r="N14" s="23" t="s">
        <v>59</v>
      </c>
      <c r="O14" s="20"/>
      <c r="P14" s="22" t="s">
        <v>59</v>
      </c>
      <c r="Q14" s="20"/>
      <c r="R14" s="20" t="s">
        <v>60</v>
      </c>
      <c r="S14" s="17" t="s">
        <v>152</v>
      </c>
      <c r="T14" s="17" t="s">
        <v>153</v>
      </c>
      <c r="U14" s="17" t="s">
        <v>154</v>
      </c>
      <c r="V14" s="21" t="s">
        <v>155</v>
      </c>
      <c r="W14" s="17" t="s">
        <v>156</v>
      </c>
    </row>
    <row r="15" customFormat="false" ht="25.5" hidden="false" customHeight="true" outlineLevel="0" collapsed="false">
      <c r="A15" s="15" t="s">
        <v>157</v>
      </c>
      <c r="B15" s="16" t="s">
        <v>158</v>
      </c>
      <c r="C15" s="17" t="s">
        <v>128</v>
      </c>
      <c r="D15" s="17" t="s">
        <v>147</v>
      </c>
      <c r="E15" s="17" t="s">
        <v>159</v>
      </c>
      <c r="F15" s="15"/>
      <c r="G15" s="15"/>
      <c r="H15" s="17" t="s">
        <v>160</v>
      </c>
      <c r="I15" s="17" t="s">
        <v>161</v>
      </c>
      <c r="J15" s="17" t="s">
        <v>162</v>
      </c>
      <c r="K15" s="17"/>
      <c r="L15" s="20"/>
      <c r="M15" s="19" t="s">
        <v>58</v>
      </c>
      <c r="N15" s="23" t="s">
        <v>59</v>
      </c>
      <c r="O15" s="20"/>
      <c r="P15" s="20"/>
      <c r="Q15" s="20"/>
      <c r="R15" s="20" t="s">
        <v>60</v>
      </c>
      <c r="S15" s="17" t="s">
        <v>163</v>
      </c>
      <c r="T15" s="17" t="s">
        <v>164</v>
      </c>
      <c r="U15" s="17" t="s">
        <v>165</v>
      </c>
      <c r="V15" s="21" t="s">
        <v>166</v>
      </c>
      <c r="W15" s="17" t="s">
        <v>156</v>
      </c>
    </row>
    <row r="16" customFormat="false" ht="25.5" hidden="false" customHeight="true" outlineLevel="0" collapsed="false">
      <c r="A16" s="15" t="s">
        <v>167</v>
      </c>
      <c r="B16" s="16" t="s">
        <v>168</v>
      </c>
      <c r="C16" s="17" t="s">
        <v>128</v>
      </c>
      <c r="D16" s="17" t="s">
        <v>147</v>
      </c>
      <c r="E16" s="17" t="s">
        <v>169</v>
      </c>
      <c r="F16" s="15"/>
      <c r="G16" s="15"/>
      <c r="H16" s="17" t="s">
        <v>170</v>
      </c>
      <c r="I16" s="17" t="s">
        <v>171</v>
      </c>
      <c r="J16" s="17" t="s">
        <v>172</v>
      </c>
      <c r="K16" s="17"/>
      <c r="L16" s="20"/>
      <c r="M16" s="19" t="s">
        <v>58</v>
      </c>
      <c r="N16" s="20"/>
      <c r="O16" s="20"/>
      <c r="P16" s="22" t="s">
        <v>59</v>
      </c>
      <c r="Q16" s="20"/>
      <c r="R16" s="20" t="s">
        <v>60</v>
      </c>
      <c r="S16" s="17" t="s">
        <v>173</v>
      </c>
      <c r="T16" s="17" t="s">
        <v>174</v>
      </c>
      <c r="U16" s="17" t="s">
        <v>175</v>
      </c>
      <c r="V16" s="21" t="s">
        <v>176</v>
      </c>
      <c r="W16" s="17" t="s">
        <v>156</v>
      </c>
    </row>
    <row r="17" customFormat="false" ht="37.5" hidden="false" customHeight="true" outlineLevel="0" collapsed="false">
      <c r="A17" s="15" t="s">
        <v>177</v>
      </c>
      <c r="B17" s="16" t="s">
        <v>178</v>
      </c>
      <c r="C17" s="17" t="s">
        <v>128</v>
      </c>
      <c r="D17" s="17" t="s">
        <v>147</v>
      </c>
      <c r="E17" s="17" t="s">
        <v>179</v>
      </c>
      <c r="F17" s="15" t="s">
        <v>81</v>
      </c>
      <c r="G17" s="15"/>
      <c r="H17" s="17" t="s">
        <v>180</v>
      </c>
      <c r="I17" s="17" t="s">
        <v>181</v>
      </c>
      <c r="J17" s="17" t="s">
        <v>182</v>
      </c>
      <c r="K17" s="17"/>
      <c r="L17" s="20"/>
      <c r="M17" s="19" t="s">
        <v>58</v>
      </c>
      <c r="N17" s="23" t="s">
        <v>59</v>
      </c>
      <c r="O17" s="20"/>
      <c r="P17" s="22" t="s">
        <v>59</v>
      </c>
      <c r="Q17" s="20"/>
      <c r="R17" s="20" t="s">
        <v>60</v>
      </c>
      <c r="S17" s="17" t="s">
        <v>183</v>
      </c>
      <c r="T17" s="17" t="s">
        <v>184</v>
      </c>
      <c r="U17" s="17" t="s">
        <v>185</v>
      </c>
      <c r="V17" s="21" t="s">
        <v>166</v>
      </c>
      <c r="W17" s="17" t="s">
        <v>156</v>
      </c>
    </row>
    <row r="18" customFormat="false" ht="25.5" hidden="false" customHeight="true" outlineLevel="0" collapsed="false">
      <c r="A18" s="15" t="s">
        <v>186</v>
      </c>
      <c r="B18" s="16" t="s">
        <v>187</v>
      </c>
      <c r="C18" s="17" t="s">
        <v>128</v>
      </c>
      <c r="D18" s="17" t="s">
        <v>147</v>
      </c>
      <c r="E18" s="17" t="s">
        <v>188</v>
      </c>
      <c r="F18" s="15"/>
      <c r="G18" s="15"/>
      <c r="H18" s="17" t="s">
        <v>189</v>
      </c>
      <c r="I18" s="17" t="s">
        <v>190</v>
      </c>
      <c r="J18" s="17" t="s">
        <v>191</v>
      </c>
      <c r="K18" s="17"/>
      <c r="L18" s="20"/>
      <c r="M18" s="19" t="s">
        <v>58</v>
      </c>
      <c r="N18" s="20"/>
      <c r="O18" s="20"/>
      <c r="P18" s="20"/>
      <c r="Q18" s="20"/>
      <c r="R18" s="20" t="s">
        <v>60</v>
      </c>
      <c r="S18" s="17" t="s">
        <v>192</v>
      </c>
      <c r="T18" s="17" t="s">
        <v>193</v>
      </c>
      <c r="U18" s="17" t="s">
        <v>194</v>
      </c>
      <c r="V18" s="21" t="s">
        <v>195</v>
      </c>
      <c r="W18" s="17" t="s">
        <v>65</v>
      </c>
    </row>
    <row r="19" customFormat="false" ht="14.25" hidden="false" customHeight="true" outlineLevel="0" collapsed="false">
      <c r="A19" s="13" t="s">
        <v>196</v>
      </c>
      <c r="B19" s="14"/>
      <c r="C19" s="14"/>
      <c r="D19" s="14"/>
      <c r="E19" s="14"/>
      <c r="F19" s="14"/>
      <c r="G19" s="14"/>
      <c r="H19" s="14"/>
      <c r="I19" s="14"/>
      <c r="J19" s="14"/>
      <c r="K19" s="14"/>
      <c r="L19" s="14"/>
      <c r="M19" s="14"/>
      <c r="N19" s="14"/>
      <c r="O19" s="14"/>
      <c r="P19" s="14"/>
      <c r="Q19" s="14"/>
      <c r="R19" s="14"/>
      <c r="S19" s="14"/>
      <c r="T19" s="14"/>
      <c r="U19" s="14"/>
      <c r="V19" s="14"/>
      <c r="W19" s="14"/>
    </row>
    <row r="20" customFormat="false" ht="49.5" hidden="false" customHeight="true" outlineLevel="0" collapsed="false">
      <c r="A20" s="15" t="s">
        <v>197</v>
      </c>
      <c r="B20" s="16" t="s">
        <v>198</v>
      </c>
      <c r="C20" s="17" t="s">
        <v>199</v>
      </c>
      <c r="D20" s="17" t="s">
        <v>200</v>
      </c>
      <c r="E20" s="17" t="s">
        <v>201</v>
      </c>
      <c r="F20" s="15" t="s">
        <v>202</v>
      </c>
      <c r="G20" s="15" t="s">
        <v>71</v>
      </c>
      <c r="H20" s="17" t="s">
        <v>203</v>
      </c>
      <c r="I20" s="17" t="s">
        <v>204</v>
      </c>
      <c r="J20" s="17" t="s">
        <v>205</v>
      </c>
      <c r="K20" s="17"/>
      <c r="L20" s="18" t="s">
        <v>59</v>
      </c>
      <c r="M20" s="19" t="s">
        <v>59</v>
      </c>
      <c r="N20" s="23" t="s">
        <v>58</v>
      </c>
      <c r="O20" s="20"/>
      <c r="P20" s="22" t="s">
        <v>59</v>
      </c>
      <c r="Q20" s="24" t="s">
        <v>59</v>
      </c>
      <c r="R20" s="20" t="s">
        <v>60</v>
      </c>
      <c r="S20" s="17" t="s">
        <v>206</v>
      </c>
      <c r="T20" s="17" t="s">
        <v>207</v>
      </c>
      <c r="U20" s="17" t="s">
        <v>208</v>
      </c>
      <c r="V20" s="21" t="s">
        <v>209</v>
      </c>
      <c r="W20" s="17" t="s">
        <v>65</v>
      </c>
    </row>
    <row r="21" customFormat="false" ht="37.5" hidden="false" customHeight="true" outlineLevel="0" collapsed="false">
      <c r="A21" s="15" t="s">
        <v>210</v>
      </c>
      <c r="B21" s="16" t="s">
        <v>211</v>
      </c>
      <c r="C21" s="17" t="s">
        <v>212</v>
      </c>
      <c r="D21" s="17" t="s">
        <v>198</v>
      </c>
      <c r="E21" s="17" t="s">
        <v>69</v>
      </c>
      <c r="F21" s="15"/>
      <c r="G21" s="15"/>
      <c r="H21" s="17" t="s">
        <v>213</v>
      </c>
      <c r="I21" s="17" t="s">
        <v>214</v>
      </c>
      <c r="J21" s="17"/>
      <c r="K21" s="17"/>
      <c r="L21" s="20"/>
      <c r="M21" s="19" t="s">
        <v>58</v>
      </c>
      <c r="N21" s="23" t="s">
        <v>59</v>
      </c>
      <c r="O21" s="20"/>
      <c r="P21" s="20"/>
      <c r="Q21" s="20"/>
      <c r="R21" s="20" t="s">
        <v>215</v>
      </c>
      <c r="S21" s="17" t="s">
        <v>216</v>
      </c>
      <c r="T21" s="17" t="s">
        <v>62</v>
      </c>
      <c r="U21" s="17" t="s">
        <v>217</v>
      </c>
      <c r="V21" s="21"/>
      <c r="W21" s="17" t="s">
        <v>156</v>
      </c>
    </row>
    <row r="22" customFormat="false" ht="25.5" hidden="false" customHeight="true" outlineLevel="0" collapsed="false">
      <c r="A22" s="15" t="s">
        <v>218</v>
      </c>
      <c r="B22" s="16" t="s">
        <v>219</v>
      </c>
      <c r="C22" s="17" t="s">
        <v>212</v>
      </c>
      <c r="D22" s="17" t="s">
        <v>198</v>
      </c>
      <c r="E22" s="17" t="s">
        <v>148</v>
      </c>
      <c r="F22" s="15"/>
      <c r="G22" s="15"/>
      <c r="H22" s="17" t="s">
        <v>220</v>
      </c>
      <c r="I22" s="17" t="s">
        <v>221</v>
      </c>
      <c r="J22" s="17"/>
      <c r="K22" s="17"/>
      <c r="L22" s="20"/>
      <c r="M22" s="19" t="s">
        <v>58</v>
      </c>
      <c r="N22" s="23" t="s">
        <v>59</v>
      </c>
      <c r="O22" s="20"/>
      <c r="P22" s="20"/>
      <c r="Q22" s="20"/>
      <c r="R22" s="20" t="s">
        <v>215</v>
      </c>
      <c r="S22" s="17" t="s">
        <v>216</v>
      </c>
      <c r="T22" s="17" t="s">
        <v>62</v>
      </c>
      <c r="U22" s="17" t="s">
        <v>222</v>
      </c>
      <c r="V22" s="21"/>
      <c r="W22" s="17" t="s">
        <v>156</v>
      </c>
    </row>
    <row r="23" customFormat="false" ht="25.5" hidden="false" customHeight="true" outlineLevel="0" collapsed="false">
      <c r="A23" s="15" t="s">
        <v>223</v>
      </c>
      <c r="B23" s="16" t="s">
        <v>224</v>
      </c>
      <c r="C23" s="17" t="s">
        <v>212</v>
      </c>
      <c r="D23" s="17" t="s">
        <v>198</v>
      </c>
      <c r="E23" s="17" t="s">
        <v>225</v>
      </c>
      <c r="F23" s="15"/>
      <c r="G23" s="15"/>
      <c r="H23" s="17" t="s">
        <v>226</v>
      </c>
      <c r="I23" s="17" t="s">
        <v>227</v>
      </c>
      <c r="J23" s="17"/>
      <c r="K23" s="17"/>
      <c r="L23" s="20"/>
      <c r="M23" s="19" t="s">
        <v>58</v>
      </c>
      <c r="N23" s="23" t="s">
        <v>59</v>
      </c>
      <c r="O23" s="20"/>
      <c r="P23" s="20"/>
      <c r="Q23" s="20"/>
      <c r="R23" s="20" t="s">
        <v>215</v>
      </c>
      <c r="S23" s="17" t="s">
        <v>216</v>
      </c>
      <c r="T23" s="17" t="s">
        <v>62</v>
      </c>
      <c r="U23" s="17" t="s">
        <v>228</v>
      </c>
      <c r="V23" s="21"/>
      <c r="W23" s="17" t="s">
        <v>156</v>
      </c>
    </row>
    <row r="24" customFormat="false" ht="24.75" hidden="false" customHeight="true" outlineLevel="0" collapsed="false">
      <c r="A24" s="15" t="s">
        <v>229</v>
      </c>
      <c r="B24" s="16" t="s">
        <v>230</v>
      </c>
      <c r="C24" s="17" t="s">
        <v>212</v>
      </c>
      <c r="D24" s="17" t="s">
        <v>198</v>
      </c>
      <c r="E24" s="17" t="s">
        <v>69</v>
      </c>
      <c r="F24" s="15"/>
      <c r="G24" s="15"/>
      <c r="H24" s="17" t="s">
        <v>231</v>
      </c>
      <c r="I24" s="17" t="s">
        <v>232</v>
      </c>
      <c r="J24" s="17"/>
      <c r="K24" s="17"/>
      <c r="L24" s="20"/>
      <c r="M24" s="19" t="s">
        <v>58</v>
      </c>
      <c r="N24" s="23" t="s">
        <v>59</v>
      </c>
      <c r="O24" s="20"/>
      <c r="P24" s="20"/>
      <c r="Q24" s="20"/>
      <c r="R24" s="20" t="s">
        <v>215</v>
      </c>
      <c r="S24" s="17" t="s">
        <v>216</v>
      </c>
      <c r="T24" s="17" t="s">
        <v>62</v>
      </c>
      <c r="U24" s="17" t="s">
        <v>233</v>
      </c>
      <c r="V24" s="21"/>
      <c r="W24" s="17" t="s">
        <v>156</v>
      </c>
    </row>
    <row r="25" customFormat="false" ht="14.25" hidden="false" customHeight="true" outlineLevel="0" collapsed="false">
      <c r="A25" s="13" t="s">
        <v>234</v>
      </c>
      <c r="B25" s="14"/>
      <c r="C25" s="14"/>
      <c r="D25" s="14"/>
      <c r="E25" s="14"/>
      <c r="F25" s="14"/>
      <c r="G25" s="14"/>
      <c r="H25" s="14"/>
      <c r="I25" s="14"/>
      <c r="J25" s="14"/>
      <c r="K25" s="14"/>
      <c r="L25" s="14"/>
      <c r="M25" s="14"/>
      <c r="N25" s="14"/>
      <c r="O25" s="14"/>
      <c r="P25" s="14"/>
      <c r="Q25" s="14"/>
      <c r="R25" s="14"/>
      <c r="S25" s="14"/>
      <c r="T25" s="14"/>
      <c r="U25" s="14"/>
      <c r="V25" s="14"/>
      <c r="W25" s="14"/>
    </row>
    <row r="26" customFormat="false" ht="37.5" hidden="false" customHeight="true" outlineLevel="0" collapsed="false">
      <c r="A26" s="15" t="s">
        <v>235</v>
      </c>
      <c r="B26" s="16" t="s">
        <v>236</v>
      </c>
      <c r="C26" s="17" t="s">
        <v>237</v>
      </c>
      <c r="D26" s="17" t="s">
        <v>106</v>
      </c>
      <c r="E26" s="17" t="s">
        <v>107</v>
      </c>
      <c r="F26" s="15" t="s">
        <v>238</v>
      </c>
      <c r="G26" s="15" t="s">
        <v>90</v>
      </c>
      <c r="H26" s="17" t="s">
        <v>239</v>
      </c>
      <c r="I26" s="17" t="s">
        <v>240</v>
      </c>
      <c r="J26" s="17" t="s">
        <v>241</v>
      </c>
      <c r="K26" s="17" t="s">
        <v>242</v>
      </c>
      <c r="L26" s="18" t="s">
        <v>59</v>
      </c>
      <c r="M26" s="19" t="s">
        <v>59</v>
      </c>
      <c r="N26" s="23" t="s">
        <v>58</v>
      </c>
      <c r="O26" s="20"/>
      <c r="P26" s="20"/>
      <c r="Q26" s="20"/>
      <c r="R26" s="20" t="s">
        <v>60</v>
      </c>
      <c r="S26" s="17" t="s">
        <v>243</v>
      </c>
      <c r="T26" s="17" t="s">
        <v>184</v>
      </c>
      <c r="U26" s="17" t="s">
        <v>244</v>
      </c>
      <c r="V26" s="21" t="s">
        <v>245</v>
      </c>
      <c r="W26" s="17" t="s">
        <v>156</v>
      </c>
    </row>
    <row r="27" customFormat="false" ht="37.5" hidden="false" customHeight="true" outlineLevel="0" collapsed="false">
      <c r="A27" s="15" t="s">
        <v>246</v>
      </c>
      <c r="B27" s="16" t="s">
        <v>247</v>
      </c>
      <c r="C27" s="17" t="s">
        <v>237</v>
      </c>
      <c r="D27" s="17" t="s">
        <v>248</v>
      </c>
      <c r="E27" s="17" t="s">
        <v>107</v>
      </c>
      <c r="F27" s="15" t="s">
        <v>97</v>
      </c>
      <c r="G27" s="15" t="s">
        <v>238</v>
      </c>
      <c r="H27" s="17" t="s">
        <v>249</v>
      </c>
      <c r="I27" s="17" t="s">
        <v>250</v>
      </c>
      <c r="J27" s="17" t="s">
        <v>251</v>
      </c>
      <c r="K27" s="17" t="s">
        <v>252</v>
      </c>
      <c r="L27" s="18" t="s">
        <v>59</v>
      </c>
      <c r="M27" s="19" t="s">
        <v>59</v>
      </c>
      <c r="N27" s="23" t="s">
        <v>58</v>
      </c>
      <c r="O27" s="20"/>
      <c r="P27" s="20"/>
      <c r="Q27" s="20"/>
      <c r="R27" s="20" t="s">
        <v>60</v>
      </c>
      <c r="S27" s="17" t="s">
        <v>253</v>
      </c>
      <c r="T27" s="17" t="s">
        <v>254</v>
      </c>
      <c r="U27" s="17" t="s">
        <v>255</v>
      </c>
      <c r="V27" s="21" t="s">
        <v>256</v>
      </c>
      <c r="W27" s="17" t="s">
        <v>156</v>
      </c>
    </row>
    <row r="28" customFormat="false" ht="14.25" hidden="false" customHeight="true" outlineLevel="0" collapsed="false">
      <c r="A28" s="13" t="s">
        <v>257</v>
      </c>
      <c r="B28" s="14"/>
      <c r="C28" s="14"/>
      <c r="D28" s="14"/>
      <c r="E28" s="14"/>
      <c r="F28" s="14"/>
      <c r="G28" s="14"/>
      <c r="H28" s="14"/>
      <c r="I28" s="14"/>
      <c r="J28" s="14"/>
      <c r="K28" s="14"/>
      <c r="L28" s="14"/>
      <c r="M28" s="14"/>
      <c r="N28" s="14"/>
      <c r="O28" s="14"/>
      <c r="P28" s="14"/>
      <c r="Q28" s="14"/>
      <c r="R28" s="14"/>
      <c r="S28" s="14"/>
      <c r="T28" s="14"/>
      <c r="U28" s="14"/>
      <c r="V28" s="14"/>
      <c r="W28" s="14"/>
    </row>
    <row r="29" customFormat="false" ht="24.75" hidden="false" customHeight="true" outlineLevel="0" collapsed="false">
      <c r="A29" s="15" t="s">
        <v>258</v>
      </c>
      <c r="B29" s="16" t="s">
        <v>259</v>
      </c>
      <c r="C29" s="17" t="s">
        <v>260</v>
      </c>
      <c r="D29" s="17" t="s">
        <v>261</v>
      </c>
      <c r="E29" s="17"/>
      <c r="F29" s="15"/>
      <c r="G29" s="15"/>
      <c r="H29" s="17" t="s">
        <v>262</v>
      </c>
      <c r="I29" s="17" t="s">
        <v>263</v>
      </c>
      <c r="J29" s="17" t="s">
        <v>264</v>
      </c>
      <c r="K29" s="17"/>
      <c r="L29" s="20"/>
      <c r="M29" s="20"/>
      <c r="N29" s="23" t="s">
        <v>58</v>
      </c>
      <c r="O29" s="25" t="s">
        <v>59</v>
      </c>
      <c r="P29" s="20"/>
      <c r="Q29" s="20"/>
      <c r="R29" s="20" t="s">
        <v>60</v>
      </c>
      <c r="S29" s="17" t="s">
        <v>265</v>
      </c>
      <c r="T29" s="17" t="s">
        <v>266</v>
      </c>
      <c r="U29" s="17" t="s">
        <v>267</v>
      </c>
      <c r="V29" s="21" t="s">
        <v>268</v>
      </c>
      <c r="W29" s="17" t="s">
        <v>269</v>
      </c>
    </row>
    <row r="30" customFormat="false" ht="24.75" hidden="false" customHeight="true" outlineLevel="0" collapsed="false">
      <c r="A30" s="15" t="s">
        <v>270</v>
      </c>
      <c r="B30" s="16" t="s">
        <v>271</v>
      </c>
      <c r="C30" s="17" t="s">
        <v>260</v>
      </c>
      <c r="D30" s="17" t="s">
        <v>261</v>
      </c>
      <c r="E30" s="17"/>
      <c r="F30" s="15"/>
      <c r="G30" s="15"/>
      <c r="H30" s="17" t="s">
        <v>272</v>
      </c>
      <c r="I30" s="17" t="s">
        <v>273</v>
      </c>
      <c r="J30" s="17" t="s">
        <v>274</v>
      </c>
      <c r="K30" s="17"/>
      <c r="L30" s="20"/>
      <c r="M30" s="20"/>
      <c r="N30" s="23" t="s">
        <v>58</v>
      </c>
      <c r="O30" s="25" t="s">
        <v>59</v>
      </c>
      <c r="P30" s="20"/>
      <c r="Q30" s="20"/>
      <c r="R30" s="20" t="s">
        <v>60</v>
      </c>
      <c r="S30" s="17" t="s">
        <v>265</v>
      </c>
      <c r="T30" s="17" t="s">
        <v>266</v>
      </c>
      <c r="U30" s="17" t="s">
        <v>267</v>
      </c>
      <c r="V30" s="21" t="s">
        <v>268</v>
      </c>
      <c r="W30" s="17" t="s">
        <v>269</v>
      </c>
    </row>
    <row r="31" customFormat="false" ht="24.75" hidden="false" customHeight="true" outlineLevel="0" collapsed="false">
      <c r="A31" s="15" t="s">
        <v>275</v>
      </c>
      <c r="B31" s="16" t="s">
        <v>276</v>
      </c>
      <c r="C31" s="17" t="s">
        <v>260</v>
      </c>
      <c r="D31" s="17" t="s">
        <v>261</v>
      </c>
      <c r="E31" s="17"/>
      <c r="F31" s="15"/>
      <c r="G31" s="15"/>
      <c r="H31" s="17" t="s">
        <v>277</v>
      </c>
      <c r="I31" s="17" t="s">
        <v>278</v>
      </c>
      <c r="J31" s="17" t="s">
        <v>279</v>
      </c>
      <c r="K31" s="17"/>
      <c r="L31" s="20"/>
      <c r="M31" s="19" t="s">
        <v>59</v>
      </c>
      <c r="N31" s="23" t="s">
        <v>58</v>
      </c>
      <c r="O31" s="25" t="s">
        <v>59</v>
      </c>
      <c r="P31" s="20"/>
      <c r="Q31" s="24" t="s">
        <v>59</v>
      </c>
      <c r="R31" s="20" t="s">
        <v>60</v>
      </c>
      <c r="S31" s="17" t="s">
        <v>280</v>
      </c>
      <c r="T31" s="17" t="s">
        <v>281</v>
      </c>
      <c r="U31" s="17" t="s">
        <v>267</v>
      </c>
      <c r="V31" s="21" t="s">
        <v>282</v>
      </c>
      <c r="W31" s="17" t="s">
        <v>269</v>
      </c>
    </row>
    <row r="32" customFormat="false" ht="14.25" hidden="false" customHeight="true" outlineLevel="0" collapsed="false">
      <c r="A32" s="13" t="s">
        <v>283</v>
      </c>
      <c r="B32" s="14"/>
      <c r="C32" s="14"/>
      <c r="D32" s="14"/>
      <c r="E32" s="14"/>
      <c r="F32" s="14"/>
      <c r="G32" s="14"/>
      <c r="H32" s="14"/>
      <c r="I32" s="14"/>
      <c r="J32" s="14"/>
      <c r="K32" s="14"/>
      <c r="L32" s="14"/>
      <c r="M32" s="14"/>
      <c r="N32" s="14"/>
      <c r="O32" s="14"/>
      <c r="P32" s="14"/>
      <c r="Q32" s="14"/>
      <c r="R32" s="14"/>
      <c r="S32" s="14"/>
      <c r="T32" s="14"/>
      <c r="U32" s="14"/>
      <c r="V32" s="14"/>
      <c r="W32" s="14"/>
    </row>
    <row r="33" customFormat="false" ht="49.5" hidden="false" customHeight="true" outlineLevel="0" collapsed="false">
      <c r="A33" s="15" t="s">
        <v>284</v>
      </c>
      <c r="B33" s="16" t="s">
        <v>285</v>
      </c>
      <c r="C33" s="17" t="s">
        <v>286</v>
      </c>
      <c r="D33" s="17" t="s">
        <v>261</v>
      </c>
      <c r="E33" s="17"/>
      <c r="F33" s="15" t="s">
        <v>287</v>
      </c>
      <c r="G33" s="15" t="s">
        <v>287</v>
      </c>
      <c r="H33" s="17" t="s">
        <v>288</v>
      </c>
      <c r="I33" s="17" t="s">
        <v>289</v>
      </c>
      <c r="J33" s="17" t="s">
        <v>290</v>
      </c>
      <c r="K33" s="26" t="s">
        <v>291</v>
      </c>
      <c r="L33" s="20"/>
      <c r="M33" s="20"/>
      <c r="N33" s="20"/>
      <c r="O33" s="20"/>
      <c r="P33" s="20"/>
      <c r="Q33" s="24" t="s">
        <v>58</v>
      </c>
      <c r="R33" s="20" t="s">
        <v>60</v>
      </c>
      <c r="S33" s="17" t="s">
        <v>292</v>
      </c>
      <c r="T33" s="17" t="s">
        <v>293</v>
      </c>
      <c r="U33" s="17" t="s">
        <v>294</v>
      </c>
      <c r="V33" s="21" t="s">
        <v>295</v>
      </c>
      <c r="W33" s="17" t="s">
        <v>296</v>
      </c>
    </row>
    <row r="34" customFormat="false" ht="37.5" hidden="false" customHeight="true" outlineLevel="0" collapsed="false">
      <c r="A34" s="15" t="s">
        <v>297</v>
      </c>
      <c r="B34" s="16" t="s">
        <v>298</v>
      </c>
      <c r="C34" s="17" t="s">
        <v>286</v>
      </c>
      <c r="D34" s="17" t="s">
        <v>261</v>
      </c>
      <c r="E34" s="17"/>
      <c r="F34" s="15" t="s">
        <v>287</v>
      </c>
      <c r="G34" s="15" t="s">
        <v>287</v>
      </c>
      <c r="H34" s="17" t="s">
        <v>299</v>
      </c>
      <c r="I34" s="17" t="s">
        <v>289</v>
      </c>
      <c r="J34" s="17" t="s">
        <v>300</v>
      </c>
      <c r="K34" s="26" t="s">
        <v>301</v>
      </c>
      <c r="L34" s="20"/>
      <c r="M34" s="19" t="s">
        <v>59</v>
      </c>
      <c r="N34" s="20"/>
      <c r="O34" s="20"/>
      <c r="P34" s="20"/>
      <c r="Q34" s="24" t="s">
        <v>58</v>
      </c>
      <c r="R34" s="20" t="s">
        <v>60</v>
      </c>
      <c r="S34" s="17" t="s">
        <v>292</v>
      </c>
      <c r="T34" s="17" t="s">
        <v>293</v>
      </c>
      <c r="U34" s="17" t="s">
        <v>302</v>
      </c>
      <c r="V34" s="21" t="s">
        <v>295</v>
      </c>
      <c r="W34" s="17" t="s">
        <v>296</v>
      </c>
    </row>
    <row r="35" customFormat="false" ht="37.5" hidden="false" customHeight="true" outlineLevel="0" collapsed="false">
      <c r="A35" s="15" t="s">
        <v>303</v>
      </c>
      <c r="B35" s="16" t="s">
        <v>304</v>
      </c>
      <c r="C35" s="17" t="s">
        <v>286</v>
      </c>
      <c r="D35" s="17" t="s">
        <v>261</v>
      </c>
      <c r="E35" s="17"/>
      <c r="F35" s="15" t="s">
        <v>305</v>
      </c>
      <c r="G35" s="15" t="s">
        <v>287</v>
      </c>
      <c r="H35" s="17" t="s">
        <v>306</v>
      </c>
      <c r="I35" s="17" t="s">
        <v>289</v>
      </c>
      <c r="J35" s="17" t="s">
        <v>307</v>
      </c>
      <c r="K35" s="26" t="s">
        <v>308</v>
      </c>
      <c r="L35" s="20"/>
      <c r="M35" s="19" t="s">
        <v>59</v>
      </c>
      <c r="N35" s="20"/>
      <c r="O35" s="25" t="s">
        <v>59</v>
      </c>
      <c r="P35" s="20"/>
      <c r="Q35" s="24" t="s">
        <v>58</v>
      </c>
      <c r="R35" s="20" t="s">
        <v>60</v>
      </c>
      <c r="S35" s="17" t="s">
        <v>292</v>
      </c>
      <c r="T35" s="17" t="s">
        <v>293</v>
      </c>
      <c r="U35" s="17" t="s">
        <v>302</v>
      </c>
      <c r="V35" s="21" t="s">
        <v>295</v>
      </c>
      <c r="W35" s="17" t="s">
        <v>296</v>
      </c>
    </row>
    <row r="36" customFormat="false" ht="37.5" hidden="false" customHeight="true" outlineLevel="0" collapsed="false">
      <c r="A36" s="15" t="s">
        <v>309</v>
      </c>
      <c r="B36" s="16" t="s">
        <v>310</v>
      </c>
      <c r="C36" s="17" t="s">
        <v>286</v>
      </c>
      <c r="D36" s="17" t="s">
        <v>261</v>
      </c>
      <c r="E36" s="17"/>
      <c r="F36" s="15" t="s">
        <v>287</v>
      </c>
      <c r="G36" s="15" t="s">
        <v>287</v>
      </c>
      <c r="H36" s="17" t="s">
        <v>311</v>
      </c>
      <c r="I36" s="17" t="s">
        <v>312</v>
      </c>
      <c r="J36" s="17" t="s">
        <v>313</v>
      </c>
      <c r="K36" s="26" t="s">
        <v>314</v>
      </c>
      <c r="L36" s="18" t="s">
        <v>59</v>
      </c>
      <c r="M36" s="20"/>
      <c r="N36" s="20"/>
      <c r="O36" s="25" t="s">
        <v>59</v>
      </c>
      <c r="P36" s="20"/>
      <c r="Q36" s="24" t="s">
        <v>58</v>
      </c>
      <c r="R36" s="20" t="s">
        <v>62</v>
      </c>
      <c r="S36" s="17" t="s">
        <v>292</v>
      </c>
      <c r="T36" s="17" t="s">
        <v>293</v>
      </c>
      <c r="U36" s="17" t="s">
        <v>302</v>
      </c>
      <c r="V36" s="21" t="s">
        <v>315</v>
      </c>
      <c r="W36" s="17" t="s">
        <v>296</v>
      </c>
    </row>
    <row r="37" customFormat="false" ht="37.5" hidden="false" customHeight="true" outlineLevel="0" collapsed="false">
      <c r="A37" s="15" t="s">
        <v>316</v>
      </c>
      <c r="B37" s="16" t="s">
        <v>317</v>
      </c>
      <c r="C37" s="17" t="s">
        <v>286</v>
      </c>
      <c r="D37" s="17" t="s">
        <v>261</v>
      </c>
      <c r="E37" s="17"/>
      <c r="F37" s="15" t="s">
        <v>305</v>
      </c>
      <c r="G37" s="15" t="s">
        <v>305</v>
      </c>
      <c r="H37" s="17" t="s">
        <v>318</v>
      </c>
      <c r="I37" s="17" t="s">
        <v>319</v>
      </c>
      <c r="J37" s="17" t="s">
        <v>320</v>
      </c>
      <c r="K37" s="26" t="s">
        <v>321</v>
      </c>
      <c r="L37" s="20"/>
      <c r="M37" s="20"/>
      <c r="N37" s="20"/>
      <c r="O37" s="25" t="s">
        <v>59</v>
      </c>
      <c r="P37" s="20"/>
      <c r="Q37" s="24" t="s">
        <v>58</v>
      </c>
      <c r="R37" s="20" t="s">
        <v>60</v>
      </c>
      <c r="S37" s="17" t="s">
        <v>292</v>
      </c>
      <c r="T37" s="17" t="s">
        <v>293</v>
      </c>
      <c r="U37" s="17" t="s">
        <v>302</v>
      </c>
      <c r="V37" s="21" t="s">
        <v>295</v>
      </c>
      <c r="W37" s="17" t="s">
        <v>296</v>
      </c>
    </row>
    <row r="38" customFormat="false" ht="37.5" hidden="false" customHeight="true" outlineLevel="0" collapsed="false">
      <c r="A38" s="15" t="s">
        <v>322</v>
      </c>
      <c r="B38" s="16" t="s">
        <v>323</v>
      </c>
      <c r="C38" s="17" t="s">
        <v>286</v>
      </c>
      <c r="D38" s="17" t="s">
        <v>261</v>
      </c>
      <c r="E38" s="17"/>
      <c r="F38" s="15" t="s">
        <v>324</v>
      </c>
      <c r="G38" s="15" t="s">
        <v>324</v>
      </c>
      <c r="H38" s="17" t="s">
        <v>325</v>
      </c>
      <c r="I38" s="17" t="s">
        <v>326</v>
      </c>
      <c r="J38" s="17" t="s">
        <v>327</v>
      </c>
      <c r="K38" s="26" t="s">
        <v>328</v>
      </c>
      <c r="L38" s="20"/>
      <c r="M38" s="20"/>
      <c r="N38" s="20"/>
      <c r="O38" s="20"/>
      <c r="P38" s="20"/>
      <c r="Q38" s="24" t="s">
        <v>58</v>
      </c>
      <c r="R38" s="20" t="s">
        <v>62</v>
      </c>
      <c r="S38" s="17" t="s">
        <v>292</v>
      </c>
      <c r="T38" s="17" t="s">
        <v>293</v>
      </c>
      <c r="U38" s="17" t="s">
        <v>302</v>
      </c>
      <c r="V38" s="21" t="s">
        <v>295</v>
      </c>
      <c r="W38" s="17" t="s">
        <v>296</v>
      </c>
    </row>
    <row r="39" customFormat="false" ht="24.75" hidden="false" customHeight="true" outlineLevel="0" collapsed="false">
      <c r="A39" s="15" t="s">
        <v>329</v>
      </c>
      <c r="B39" s="16" t="s">
        <v>330</v>
      </c>
      <c r="C39" s="17" t="s">
        <v>286</v>
      </c>
      <c r="D39" s="17" t="s">
        <v>261</v>
      </c>
      <c r="E39" s="17"/>
      <c r="F39" s="15" t="s">
        <v>331</v>
      </c>
      <c r="G39" s="15" t="s">
        <v>332</v>
      </c>
      <c r="H39" s="17" t="s">
        <v>333</v>
      </c>
      <c r="I39" s="17" t="s">
        <v>326</v>
      </c>
      <c r="J39" s="17" t="s">
        <v>334</v>
      </c>
      <c r="K39" s="17"/>
      <c r="L39" s="20"/>
      <c r="M39" s="20"/>
      <c r="N39" s="20"/>
      <c r="O39" s="20"/>
      <c r="P39" s="20"/>
      <c r="Q39" s="24" t="s">
        <v>58</v>
      </c>
      <c r="R39" s="20" t="s">
        <v>62</v>
      </c>
      <c r="S39" s="17" t="s">
        <v>292</v>
      </c>
      <c r="T39" s="17" t="s">
        <v>293</v>
      </c>
      <c r="U39" s="17" t="s">
        <v>267</v>
      </c>
      <c r="V39" s="21" t="s">
        <v>335</v>
      </c>
      <c r="W39" s="17" t="s">
        <v>296</v>
      </c>
    </row>
    <row r="40" customFormat="false" ht="37.5" hidden="false" customHeight="true" outlineLevel="0" collapsed="false">
      <c r="A40" s="15" t="s">
        <v>336</v>
      </c>
      <c r="B40" s="16" t="s">
        <v>337</v>
      </c>
      <c r="C40" s="17" t="s">
        <v>286</v>
      </c>
      <c r="D40" s="17" t="s">
        <v>261</v>
      </c>
      <c r="E40" s="17"/>
      <c r="F40" s="15" t="s">
        <v>338</v>
      </c>
      <c r="G40" s="15" t="s">
        <v>324</v>
      </c>
      <c r="H40" s="17" t="s">
        <v>339</v>
      </c>
      <c r="I40" s="17" t="s">
        <v>326</v>
      </c>
      <c r="J40" s="17" t="s">
        <v>340</v>
      </c>
      <c r="K40" s="17"/>
      <c r="L40" s="20"/>
      <c r="M40" s="19" t="s">
        <v>59</v>
      </c>
      <c r="N40" s="20"/>
      <c r="O40" s="20"/>
      <c r="P40" s="20"/>
      <c r="Q40" s="24" t="s">
        <v>58</v>
      </c>
      <c r="R40" s="20" t="s">
        <v>62</v>
      </c>
      <c r="S40" s="17" t="s">
        <v>292</v>
      </c>
      <c r="T40" s="17" t="s">
        <v>293</v>
      </c>
      <c r="U40" s="17" t="s">
        <v>267</v>
      </c>
      <c r="V40" s="21" t="s">
        <v>341</v>
      </c>
      <c r="W40" s="17" t="s">
        <v>296</v>
      </c>
    </row>
    <row r="41" customFormat="false" ht="37.5" hidden="false" customHeight="true" outlineLevel="0" collapsed="false">
      <c r="A41" s="15" t="s">
        <v>342</v>
      </c>
      <c r="B41" s="16" t="s">
        <v>343</v>
      </c>
      <c r="C41" s="17" t="s">
        <v>286</v>
      </c>
      <c r="D41" s="17" t="s">
        <v>261</v>
      </c>
      <c r="E41" s="17"/>
      <c r="F41" s="15" t="s">
        <v>344</v>
      </c>
      <c r="G41" s="15" t="s">
        <v>345</v>
      </c>
      <c r="H41" s="17" t="s">
        <v>346</v>
      </c>
      <c r="I41" s="17" t="s">
        <v>347</v>
      </c>
      <c r="J41" s="17" t="s">
        <v>348</v>
      </c>
      <c r="K41" s="17"/>
      <c r="L41" s="20"/>
      <c r="M41" s="20"/>
      <c r="N41" s="20"/>
      <c r="O41" s="20"/>
      <c r="P41" s="20"/>
      <c r="Q41" s="24" t="s">
        <v>58</v>
      </c>
      <c r="R41" s="20" t="s">
        <v>62</v>
      </c>
      <c r="S41" s="17" t="s">
        <v>292</v>
      </c>
      <c r="T41" s="17" t="s">
        <v>293</v>
      </c>
      <c r="U41" s="17" t="s">
        <v>267</v>
      </c>
      <c r="V41" s="21" t="s">
        <v>335</v>
      </c>
      <c r="W41" s="17" t="s">
        <v>296</v>
      </c>
    </row>
    <row r="42" customFormat="false" ht="24.75" hidden="false" customHeight="true" outlineLevel="0" collapsed="false">
      <c r="A42" s="15" t="s">
        <v>349</v>
      </c>
      <c r="B42" s="16" t="s">
        <v>350</v>
      </c>
      <c r="C42" s="17" t="s">
        <v>286</v>
      </c>
      <c r="D42" s="17" t="s">
        <v>261</v>
      </c>
      <c r="E42" s="17"/>
      <c r="F42" s="15" t="s">
        <v>351</v>
      </c>
      <c r="G42" s="15" t="s">
        <v>351</v>
      </c>
      <c r="H42" s="17" t="s">
        <v>352</v>
      </c>
      <c r="I42" s="17" t="s">
        <v>353</v>
      </c>
      <c r="J42" s="17" t="s">
        <v>354</v>
      </c>
      <c r="K42" s="17"/>
      <c r="L42" s="20"/>
      <c r="M42" s="19" t="s">
        <v>59</v>
      </c>
      <c r="N42" s="20"/>
      <c r="O42" s="20"/>
      <c r="P42" s="20"/>
      <c r="Q42" s="24" t="s">
        <v>58</v>
      </c>
      <c r="R42" s="20" t="s">
        <v>62</v>
      </c>
      <c r="S42" s="17" t="s">
        <v>292</v>
      </c>
      <c r="T42" s="17" t="s">
        <v>293</v>
      </c>
      <c r="U42" s="17" t="s">
        <v>267</v>
      </c>
      <c r="V42" s="21" t="s">
        <v>355</v>
      </c>
      <c r="W42" s="17" t="s">
        <v>296</v>
      </c>
    </row>
    <row r="43" customFormat="false" ht="37.5" hidden="false" customHeight="true" outlineLevel="0" collapsed="false">
      <c r="A43" s="15" t="s">
        <v>356</v>
      </c>
      <c r="B43" s="16" t="s">
        <v>357</v>
      </c>
      <c r="C43" s="17" t="s">
        <v>286</v>
      </c>
      <c r="D43" s="17" t="s">
        <v>261</v>
      </c>
      <c r="E43" s="17"/>
      <c r="F43" s="15" t="s">
        <v>332</v>
      </c>
      <c r="G43" s="15" t="s">
        <v>332</v>
      </c>
      <c r="H43" s="17" t="s">
        <v>358</v>
      </c>
      <c r="I43" s="17" t="s">
        <v>359</v>
      </c>
      <c r="J43" s="17" t="s">
        <v>360</v>
      </c>
      <c r="K43" s="26" t="s">
        <v>361</v>
      </c>
      <c r="L43" s="20"/>
      <c r="M43" s="19" t="s">
        <v>59</v>
      </c>
      <c r="N43" s="20"/>
      <c r="O43" s="20"/>
      <c r="P43" s="20"/>
      <c r="Q43" s="24" t="s">
        <v>58</v>
      </c>
      <c r="R43" s="20" t="s">
        <v>60</v>
      </c>
      <c r="S43" s="17" t="s">
        <v>292</v>
      </c>
      <c r="T43" s="17" t="s">
        <v>293</v>
      </c>
      <c r="U43" s="17" t="s">
        <v>302</v>
      </c>
      <c r="V43" s="21" t="s">
        <v>295</v>
      </c>
      <c r="W43" s="17" t="s">
        <v>296</v>
      </c>
    </row>
    <row r="44" customFormat="false" ht="25.5" hidden="false" customHeight="true" outlineLevel="0" collapsed="false">
      <c r="A44" s="15" t="s">
        <v>362</v>
      </c>
      <c r="B44" s="16" t="s">
        <v>363</v>
      </c>
      <c r="C44" s="17" t="s">
        <v>286</v>
      </c>
      <c r="D44" s="17" t="s">
        <v>261</v>
      </c>
      <c r="E44" s="17"/>
      <c r="F44" s="15" t="s">
        <v>338</v>
      </c>
      <c r="G44" s="15" t="s">
        <v>338</v>
      </c>
      <c r="H44" s="17" t="s">
        <v>364</v>
      </c>
      <c r="I44" s="17" t="s">
        <v>347</v>
      </c>
      <c r="J44" s="17" t="s">
        <v>365</v>
      </c>
      <c r="K44" s="26" t="s">
        <v>366</v>
      </c>
      <c r="L44" s="20"/>
      <c r="M44" s="20"/>
      <c r="N44" s="20"/>
      <c r="O44" s="20"/>
      <c r="P44" s="20"/>
      <c r="Q44" s="24" t="s">
        <v>58</v>
      </c>
      <c r="R44" s="20" t="s">
        <v>62</v>
      </c>
      <c r="S44" s="17" t="s">
        <v>292</v>
      </c>
      <c r="T44" s="17" t="s">
        <v>293</v>
      </c>
      <c r="U44" s="17" t="s">
        <v>302</v>
      </c>
      <c r="V44" s="21" t="s">
        <v>295</v>
      </c>
      <c r="W44" s="17" t="s">
        <v>296</v>
      </c>
    </row>
    <row r="45" customFormat="false" ht="37.5" hidden="false" customHeight="true" outlineLevel="0" collapsed="false">
      <c r="A45" s="15" t="s">
        <v>367</v>
      </c>
      <c r="B45" s="16" t="s">
        <v>368</v>
      </c>
      <c r="C45" s="17" t="s">
        <v>286</v>
      </c>
      <c r="D45" s="17" t="s">
        <v>261</v>
      </c>
      <c r="E45" s="17"/>
      <c r="F45" s="15" t="s">
        <v>338</v>
      </c>
      <c r="G45" s="15" t="s">
        <v>338</v>
      </c>
      <c r="H45" s="17" t="s">
        <v>369</v>
      </c>
      <c r="I45" s="17" t="s">
        <v>370</v>
      </c>
      <c r="J45" s="17" t="s">
        <v>371</v>
      </c>
      <c r="K45" s="17"/>
      <c r="L45" s="20"/>
      <c r="M45" s="19" t="s">
        <v>59</v>
      </c>
      <c r="N45" s="20"/>
      <c r="O45" s="20"/>
      <c r="P45" s="20"/>
      <c r="Q45" s="24" t="s">
        <v>58</v>
      </c>
      <c r="R45" s="20" t="s">
        <v>60</v>
      </c>
      <c r="S45" s="17" t="s">
        <v>292</v>
      </c>
      <c r="T45" s="17" t="s">
        <v>293</v>
      </c>
      <c r="U45" s="17" t="s">
        <v>267</v>
      </c>
      <c r="V45" s="21" t="s">
        <v>335</v>
      </c>
      <c r="W45" s="17" t="s">
        <v>296</v>
      </c>
    </row>
    <row r="46" customFormat="false" ht="37.5" hidden="false" customHeight="true" outlineLevel="0" collapsed="false">
      <c r="A46" s="15" t="s">
        <v>372</v>
      </c>
      <c r="B46" s="16" t="s">
        <v>373</v>
      </c>
      <c r="C46" s="17" t="s">
        <v>286</v>
      </c>
      <c r="D46" s="17" t="s">
        <v>374</v>
      </c>
      <c r="E46" s="17"/>
      <c r="F46" s="15"/>
      <c r="G46" s="15"/>
      <c r="H46" s="17" t="s">
        <v>375</v>
      </c>
      <c r="I46" s="17"/>
      <c r="J46" s="17"/>
      <c r="K46" s="17"/>
      <c r="L46" s="20"/>
      <c r="M46" s="19"/>
      <c r="N46" s="20"/>
      <c r="O46" s="20"/>
      <c r="P46" s="20"/>
      <c r="Q46" s="24" t="s">
        <v>58</v>
      </c>
      <c r="R46" s="20" t="s">
        <v>60</v>
      </c>
      <c r="S46" s="17" t="s">
        <v>376</v>
      </c>
      <c r="T46" s="17" t="s">
        <v>377</v>
      </c>
      <c r="U46" s="17" t="s">
        <v>267</v>
      </c>
      <c r="V46" s="21" t="s">
        <v>378</v>
      </c>
      <c r="W46" s="17" t="s">
        <v>379</v>
      </c>
    </row>
    <row r="47" customFormat="false" ht="14.25" hidden="false" customHeight="true" outlineLevel="0" collapsed="false">
      <c r="A47" s="13" t="s">
        <v>380</v>
      </c>
      <c r="B47" s="14"/>
      <c r="C47" s="14"/>
      <c r="D47" s="14"/>
      <c r="E47" s="14"/>
      <c r="F47" s="14"/>
      <c r="G47" s="14"/>
      <c r="H47" s="14"/>
      <c r="I47" s="14"/>
      <c r="J47" s="14"/>
      <c r="K47" s="14"/>
      <c r="L47" s="14"/>
      <c r="M47" s="14"/>
      <c r="N47" s="14"/>
      <c r="O47" s="14"/>
      <c r="P47" s="14"/>
      <c r="Q47" s="14"/>
      <c r="R47" s="14"/>
      <c r="S47" s="14"/>
      <c r="T47" s="14"/>
      <c r="U47" s="14"/>
      <c r="V47" s="14"/>
      <c r="W47" s="14"/>
    </row>
    <row r="48" customFormat="false" ht="25.5" hidden="false" customHeight="true" outlineLevel="0" collapsed="false">
      <c r="A48" s="15" t="s">
        <v>381</v>
      </c>
      <c r="B48" s="16" t="s">
        <v>382</v>
      </c>
      <c r="C48" s="17" t="s">
        <v>383</v>
      </c>
      <c r="D48" s="17" t="s">
        <v>384</v>
      </c>
      <c r="E48" s="17" t="s">
        <v>385</v>
      </c>
      <c r="F48" s="15" t="n">
        <v>2026</v>
      </c>
      <c r="G48" s="15" t="n">
        <v>2026</v>
      </c>
      <c r="H48" s="17" t="s">
        <v>386</v>
      </c>
      <c r="I48" s="17"/>
      <c r="J48" s="17" t="s">
        <v>384</v>
      </c>
      <c r="K48" s="17"/>
      <c r="L48" s="20"/>
      <c r="M48" s="20"/>
      <c r="N48" s="20"/>
      <c r="O48" s="25" t="s">
        <v>58</v>
      </c>
      <c r="P48" s="22" t="s">
        <v>59</v>
      </c>
      <c r="Q48" s="20"/>
      <c r="R48" s="20" t="s">
        <v>60</v>
      </c>
      <c r="S48" s="17" t="s">
        <v>387</v>
      </c>
      <c r="T48" s="17" t="s">
        <v>388</v>
      </c>
      <c r="U48" s="17" t="s">
        <v>389</v>
      </c>
      <c r="V48" s="21" t="s">
        <v>390</v>
      </c>
      <c r="W48" s="17" t="s">
        <v>391</v>
      </c>
    </row>
    <row r="49" customFormat="false" ht="15" hidden="false" customHeight="true" outlineLevel="0" collapsed="false">
      <c r="A49" s="15" t="s">
        <v>392</v>
      </c>
      <c r="B49" s="16" t="s">
        <v>393</v>
      </c>
      <c r="C49" s="17" t="s">
        <v>383</v>
      </c>
      <c r="D49" s="17" t="s">
        <v>384</v>
      </c>
      <c r="E49" s="17" t="s">
        <v>394</v>
      </c>
      <c r="F49" s="15" t="n">
        <v>2026</v>
      </c>
      <c r="G49" s="15" t="n">
        <v>2026</v>
      </c>
      <c r="H49" s="17" t="s">
        <v>395</v>
      </c>
      <c r="I49" s="17"/>
      <c r="J49" s="17" t="s">
        <v>384</v>
      </c>
      <c r="K49" s="17"/>
      <c r="L49" s="20"/>
      <c r="M49" s="20"/>
      <c r="N49" s="20"/>
      <c r="O49" s="25" t="s">
        <v>58</v>
      </c>
      <c r="P49" s="22" t="s">
        <v>59</v>
      </c>
      <c r="Q49" s="20"/>
      <c r="R49" s="20" t="s">
        <v>60</v>
      </c>
      <c r="S49" s="17" t="s">
        <v>387</v>
      </c>
      <c r="T49" s="17" t="s">
        <v>388</v>
      </c>
      <c r="U49" s="17" t="s">
        <v>389</v>
      </c>
      <c r="V49" s="21" t="s">
        <v>390</v>
      </c>
      <c r="W49" s="17" t="s">
        <v>391</v>
      </c>
    </row>
    <row r="50" customFormat="false" ht="24.75" hidden="false" customHeight="true" outlineLevel="0" collapsed="false">
      <c r="A50" s="15" t="s">
        <v>396</v>
      </c>
      <c r="B50" s="16" t="s">
        <v>397</v>
      </c>
      <c r="C50" s="17" t="s">
        <v>383</v>
      </c>
      <c r="D50" s="17" t="s">
        <v>384</v>
      </c>
      <c r="E50" s="17" t="s">
        <v>398</v>
      </c>
      <c r="F50" s="15" t="s">
        <v>53</v>
      </c>
      <c r="G50" s="15" t="s">
        <v>53</v>
      </c>
      <c r="H50" s="17" t="s">
        <v>399</v>
      </c>
      <c r="I50" s="17"/>
      <c r="J50" s="17" t="s">
        <v>384</v>
      </c>
      <c r="K50" s="17"/>
      <c r="L50" s="20"/>
      <c r="M50" s="20"/>
      <c r="N50" s="20"/>
      <c r="O50" s="25" t="s">
        <v>58</v>
      </c>
      <c r="P50" s="22" t="s">
        <v>59</v>
      </c>
      <c r="Q50" s="20"/>
      <c r="R50" s="20" t="s">
        <v>60</v>
      </c>
      <c r="S50" s="17" t="s">
        <v>387</v>
      </c>
      <c r="T50" s="17" t="s">
        <v>388</v>
      </c>
      <c r="U50" s="17" t="s">
        <v>389</v>
      </c>
      <c r="V50" s="21" t="s">
        <v>390</v>
      </c>
      <c r="W50" s="17" t="s">
        <v>391</v>
      </c>
    </row>
    <row r="51" customFormat="false" ht="15" hidden="false" customHeight="true" outlineLevel="0" collapsed="false">
      <c r="A51" s="15" t="s">
        <v>400</v>
      </c>
      <c r="B51" s="16" t="s">
        <v>401</v>
      </c>
      <c r="C51" s="17" t="s">
        <v>383</v>
      </c>
      <c r="D51" s="17" t="s">
        <v>384</v>
      </c>
      <c r="E51" s="17" t="s">
        <v>402</v>
      </c>
      <c r="F51" s="15" t="s">
        <v>53</v>
      </c>
      <c r="G51" s="15" t="s">
        <v>53</v>
      </c>
      <c r="H51" s="17" t="s">
        <v>403</v>
      </c>
      <c r="I51" s="17"/>
      <c r="J51" s="17" t="s">
        <v>384</v>
      </c>
      <c r="K51" s="17"/>
      <c r="L51" s="20"/>
      <c r="M51" s="20"/>
      <c r="N51" s="20"/>
      <c r="O51" s="25" t="s">
        <v>58</v>
      </c>
      <c r="P51" s="22" t="s">
        <v>59</v>
      </c>
      <c r="Q51" s="20"/>
      <c r="R51" s="20" t="s">
        <v>60</v>
      </c>
      <c r="S51" s="17" t="s">
        <v>387</v>
      </c>
      <c r="T51" s="17" t="s">
        <v>388</v>
      </c>
      <c r="U51" s="17" t="s">
        <v>389</v>
      </c>
      <c r="V51" s="21" t="s">
        <v>390</v>
      </c>
      <c r="W51" s="17" t="s">
        <v>391</v>
      </c>
    </row>
    <row r="52" customFormat="false" ht="25.5" hidden="false" customHeight="true" outlineLevel="0" collapsed="false">
      <c r="A52" s="15" t="s">
        <v>404</v>
      </c>
      <c r="B52" s="16" t="s">
        <v>405</v>
      </c>
      <c r="C52" s="17" t="s">
        <v>383</v>
      </c>
      <c r="D52" s="17" t="s">
        <v>384</v>
      </c>
      <c r="E52" s="17" t="s">
        <v>406</v>
      </c>
      <c r="F52" s="15" t="s">
        <v>53</v>
      </c>
      <c r="G52" s="15" t="s">
        <v>53</v>
      </c>
      <c r="H52" s="17" t="s">
        <v>407</v>
      </c>
      <c r="I52" s="17"/>
      <c r="J52" s="17" t="s">
        <v>384</v>
      </c>
      <c r="K52" s="17"/>
      <c r="L52" s="18"/>
      <c r="M52" s="20"/>
      <c r="N52" s="20"/>
      <c r="O52" s="25" t="s">
        <v>58</v>
      </c>
      <c r="P52" s="22" t="s">
        <v>59</v>
      </c>
      <c r="Q52" s="20"/>
      <c r="R52" s="20" t="s">
        <v>60</v>
      </c>
      <c r="S52" s="17" t="s">
        <v>387</v>
      </c>
      <c r="T52" s="17" t="s">
        <v>388</v>
      </c>
      <c r="U52" s="17" t="s">
        <v>389</v>
      </c>
      <c r="V52" s="21" t="s">
        <v>390</v>
      </c>
      <c r="W52" s="17" t="s">
        <v>391</v>
      </c>
    </row>
    <row r="53" customFormat="false" ht="15" hidden="false" customHeight="true" outlineLevel="0" collapsed="false">
      <c r="A53" s="15" t="s">
        <v>408</v>
      </c>
      <c r="B53" s="16" t="s">
        <v>409</v>
      </c>
      <c r="C53" s="17" t="s">
        <v>383</v>
      </c>
      <c r="D53" s="17" t="s">
        <v>384</v>
      </c>
      <c r="E53" s="17" t="s">
        <v>410</v>
      </c>
      <c r="F53" s="15" t="n">
        <v>2024</v>
      </c>
      <c r="G53" s="15" t="n">
        <v>2024</v>
      </c>
      <c r="H53" s="17" t="s">
        <v>411</v>
      </c>
      <c r="I53" s="17"/>
      <c r="J53" s="17" t="s">
        <v>384</v>
      </c>
      <c r="K53" s="17"/>
      <c r="L53" s="20"/>
      <c r="M53" s="20"/>
      <c r="N53" s="20"/>
      <c r="O53" s="25" t="s">
        <v>58</v>
      </c>
      <c r="P53" s="22" t="s">
        <v>59</v>
      </c>
      <c r="Q53" s="20"/>
      <c r="R53" s="20" t="s">
        <v>60</v>
      </c>
      <c r="S53" s="17" t="s">
        <v>387</v>
      </c>
      <c r="T53" s="17" t="s">
        <v>388</v>
      </c>
      <c r="U53" s="17" t="s">
        <v>389</v>
      </c>
      <c r="V53" s="21" t="s">
        <v>390</v>
      </c>
      <c r="W53" s="17" t="s">
        <v>391</v>
      </c>
    </row>
    <row r="54" customFormat="false" ht="15" hidden="false" customHeight="true" outlineLevel="0" collapsed="false">
      <c r="A54" s="15" t="s">
        <v>412</v>
      </c>
      <c r="B54" s="16" t="s">
        <v>413</v>
      </c>
      <c r="C54" s="17" t="s">
        <v>383</v>
      </c>
      <c r="D54" s="17" t="s">
        <v>384</v>
      </c>
      <c r="E54" s="17" t="s">
        <v>414</v>
      </c>
      <c r="F54" s="15" t="n">
        <v>2023</v>
      </c>
      <c r="G54" s="15" t="n">
        <v>2023</v>
      </c>
      <c r="H54" s="17" t="s">
        <v>415</v>
      </c>
      <c r="I54" s="17"/>
      <c r="J54" s="17" t="s">
        <v>384</v>
      </c>
      <c r="K54" s="17"/>
      <c r="L54" s="20"/>
      <c r="M54" s="20"/>
      <c r="N54" s="20"/>
      <c r="O54" s="25" t="s">
        <v>58</v>
      </c>
      <c r="P54" s="22" t="s">
        <v>59</v>
      </c>
      <c r="Q54" s="20"/>
      <c r="R54" s="20" t="s">
        <v>60</v>
      </c>
      <c r="S54" s="17" t="s">
        <v>387</v>
      </c>
      <c r="T54" s="17" t="s">
        <v>388</v>
      </c>
      <c r="U54" s="17" t="s">
        <v>389</v>
      </c>
      <c r="V54" s="21" t="s">
        <v>390</v>
      </c>
      <c r="W54" s="17" t="s">
        <v>391</v>
      </c>
    </row>
    <row r="55" customFormat="false" ht="15" hidden="false" customHeight="true" outlineLevel="0" collapsed="false">
      <c r="A55" s="15" t="s">
        <v>416</v>
      </c>
      <c r="B55" s="16" t="s">
        <v>417</v>
      </c>
      <c r="C55" s="17" t="s">
        <v>383</v>
      </c>
      <c r="D55" s="17" t="s">
        <v>384</v>
      </c>
      <c r="E55" s="17" t="s">
        <v>418</v>
      </c>
      <c r="F55" s="15" t="n">
        <v>2023</v>
      </c>
      <c r="G55" s="15" t="n">
        <v>2023</v>
      </c>
      <c r="H55" s="17" t="s">
        <v>407</v>
      </c>
      <c r="I55" s="17"/>
      <c r="J55" s="17" t="s">
        <v>384</v>
      </c>
      <c r="K55" s="17"/>
      <c r="L55" s="20"/>
      <c r="M55" s="20"/>
      <c r="N55" s="20"/>
      <c r="O55" s="25" t="s">
        <v>58</v>
      </c>
      <c r="P55" s="22" t="s">
        <v>59</v>
      </c>
      <c r="Q55" s="20"/>
      <c r="R55" s="20" t="s">
        <v>60</v>
      </c>
      <c r="S55" s="17" t="s">
        <v>387</v>
      </c>
      <c r="T55" s="17" t="s">
        <v>388</v>
      </c>
      <c r="U55" s="17" t="s">
        <v>389</v>
      </c>
      <c r="V55" s="21" t="s">
        <v>390</v>
      </c>
      <c r="W55" s="17" t="s">
        <v>391</v>
      </c>
    </row>
    <row r="56" customFormat="false" ht="15" hidden="false" customHeight="true" outlineLevel="0" collapsed="false">
      <c r="A56" s="15" t="s">
        <v>419</v>
      </c>
      <c r="B56" s="16" t="s">
        <v>420</v>
      </c>
      <c r="C56" s="17" t="s">
        <v>383</v>
      </c>
      <c r="D56" s="17" t="s">
        <v>384</v>
      </c>
      <c r="E56" s="17" t="s">
        <v>402</v>
      </c>
      <c r="F56" s="15" t="n">
        <v>2022</v>
      </c>
      <c r="G56" s="15" t="n">
        <v>2022</v>
      </c>
      <c r="H56" s="17" t="s">
        <v>421</v>
      </c>
      <c r="I56" s="17"/>
      <c r="J56" s="17" t="s">
        <v>384</v>
      </c>
      <c r="K56" s="17"/>
      <c r="L56" s="20"/>
      <c r="M56" s="20"/>
      <c r="N56" s="20"/>
      <c r="O56" s="25" t="s">
        <v>58</v>
      </c>
      <c r="P56" s="22" t="s">
        <v>59</v>
      </c>
      <c r="Q56" s="20"/>
      <c r="R56" s="20" t="s">
        <v>60</v>
      </c>
      <c r="S56" s="17" t="s">
        <v>387</v>
      </c>
      <c r="T56" s="17" t="s">
        <v>388</v>
      </c>
      <c r="U56" s="17" t="s">
        <v>389</v>
      </c>
      <c r="V56" s="21" t="s">
        <v>390</v>
      </c>
      <c r="W56" s="17" t="s">
        <v>391</v>
      </c>
    </row>
    <row r="57" customFormat="false" ht="15" hidden="false" customHeight="true" outlineLevel="0" collapsed="false">
      <c r="A57" s="15" t="s">
        <v>422</v>
      </c>
      <c r="B57" s="16" t="s">
        <v>423</v>
      </c>
      <c r="C57" s="17" t="s">
        <v>383</v>
      </c>
      <c r="D57" s="17" t="s">
        <v>384</v>
      </c>
      <c r="E57" s="17" t="s">
        <v>424</v>
      </c>
      <c r="F57" s="15" t="n">
        <v>2021</v>
      </c>
      <c r="G57" s="15" t="n">
        <v>2021</v>
      </c>
      <c r="H57" s="17" t="s">
        <v>421</v>
      </c>
      <c r="I57" s="17"/>
      <c r="J57" s="17" t="s">
        <v>384</v>
      </c>
      <c r="K57" s="17"/>
      <c r="L57" s="20"/>
      <c r="M57" s="20"/>
      <c r="N57" s="20"/>
      <c r="O57" s="25" t="s">
        <v>58</v>
      </c>
      <c r="P57" s="22" t="s">
        <v>59</v>
      </c>
      <c r="Q57" s="20"/>
      <c r="R57" s="20" t="s">
        <v>60</v>
      </c>
      <c r="S57" s="17" t="s">
        <v>387</v>
      </c>
      <c r="T57" s="17" t="s">
        <v>388</v>
      </c>
      <c r="U57" s="17" t="s">
        <v>389</v>
      </c>
      <c r="V57" s="21" t="s">
        <v>390</v>
      </c>
      <c r="W57" s="17" t="s">
        <v>391</v>
      </c>
    </row>
    <row r="58" customFormat="false" ht="15" hidden="false" customHeight="true" outlineLevel="0" collapsed="false">
      <c r="A58" s="15" t="s">
        <v>425</v>
      </c>
      <c r="B58" s="16" t="s">
        <v>426</v>
      </c>
      <c r="C58" s="17" t="s">
        <v>383</v>
      </c>
      <c r="D58" s="17" t="s">
        <v>384</v>
      </c>
      <c r="E58" s="17" t="s">
        <v>427</v>
      </c>
      <c r="F58" s="15" t="n">
        <v>2022</v>
      </c>
      <c r="G58" s="15" t="n">
        <v>2022</v>
      </c>
      <c r="H58" s="17" t="s">
        <v>428</v>
      </c>
      <c r="I58" s="17"/>
      <c r="J58" s="17" t="s">
        <v>384</v>
      </c>
      <c r="K58" s="17"/>
      <c r="L58" s="20"/>
      <c r="M58" s="20"/>
      <c r="N58" s="20"/>
      <c r="O58" s="25" t="s">
        <v>58</v>
      </c>
      <c r="P58" s="22" t="s">
        <v>59</v>
      </c>
      <c r="Q58" s="20"/>
      <c r="R58" s="20" t="s">
        <v>60</v>
      </c>
      <c r="S58" s="17" t="s">
        <v>387</v>
      </c>
      <c r="T58" s="17" t="s">
        <v>388</v>
      </c>
      <c r="U58" s="17" t="s">
        <v>389</v>
      </c>
      <c r="V58" s="21"/>
      <c r="W58" s="17" t="s">
        <v>391</v>
      </c>
    </row>
    <row r="59" customFormat="false" ht="14.25" hidden="false" customHeight="true" outlineLevel="0" collapsed="false">
      <c r="A59" s="13" t="s">
        <v>429</v>
      </c>
      <c r="B59" s="14"/>
      <c r="C59" s="14"/>
      <c r="D59" s="14"/>
      <c r="E59" s="14"/>
      <c r="F59" s="14"/>
      <c r="G59" s="14"/>
      <c r="H59" s="14"/>
      <c r="I59" s="14"/>
      <c r="J59" s="14"/>
      <c r="K59" s="14"/>
      <c r="L59" s="14"/>
      <c r="M59" s="14"/>
      <c r="N59" s="14"/>
      <c r="O59" s="14"/>
      <c r="P59" s="14"/>
      <c r="Q59" s="14"/>
      <c r="R59" s="14"/>
      <c r="S59" s="14"/>
      <c r="T59" s="14"/>
      <c r="U59" s="14"/>
      <c r="V59" s="14"/>
      <c r="W59" s="14"/>
    </row>
    <row r="60" customFormat="false" ht="24.75" hidden="false" customHeight="true" outlineLevel="0" collapsed="false">
      <c r="A60" s="15" t="s">
        <v>430</v>
      </c>
      <c r="B60" s="16" t="s">
        <v>431</v>
      </c>
      <c r="C60" s="17" t="s">
        <v>432</v>
      </c>
      <c r="D60" s="17" t="s">
        <v>433</v>
      </c>
      <c r="E60" s="17" t="s">
        <v>431</v>
      </c>
      <c r="F60" s="15"/>
      <c r="G60" s="15"/>
      <c r="H60" s="17" t="s">
        <v>434</v>
      </c>
      <c r="I60" s="17"/>
      <c r="J60" s="17"/>
      <c r="K60" s="17"/>
      <c r="L60" s="18" t="s">
        <v>59</v>
      </c>
      <c r="M60" s="20"/>
      <c r="N60" s="20"/>
      <c r="O60" s="20"/>
      <c r="P60" s="22" t="s">
        <v>58</v>
      </c>
      <c r="Q60" s="20"/>
      <c r="R60" s="20" t="s">
        <v>60</v>
      </c>
      <c r="S60" s="17" t="s">
        <v>435</v>
      </c>
      <c r="T60" s="17" t="s">
        <v>62</v>
      </c>
      <c r="U60" s="17"/>
      <c r="V60" s="21" t="s">
        <v>436</v>
      </c>
      <c r="W60" s="17" t="s">
        <v>437</v>
      </c>
    </row>
    <row r="61" customFormat="false" ht="24.75" hidden="false" customHeight="true" outlineLevel="0" collapsed="false">
      <c r="A61" s="15" t="s">
        <v>438</v>
      </c>
      <c r="B61" s="16" t="s">
        <v>107</v>
      </c>
      <c r="C61" s="17" t="s">
        <v>432</v>
      </c>
      <c r="D61" s="17" t="s">
        <v>439</v>
      </c>
      <c r="E61" s="17" t="s">
        <v>107</v>
      </c>
      <c r="F61" s="15" t="s">
        <v>108</v>
      </c>
      <c r="G61" s="15" t="s">
        <v>90</v>
      </c>
      <c r="H61" s="17" t="s">
        <v>440</v>
      </c>
      <c r="I61" s="17"/>
      <c r="J61" s="17"/>
      <c r="K61" s="17"/>
      <c r="L61" s="18" t="s">
        <v>59</v>
      </c>
      <c r="M61" s="20"/>
      <c r="N61" s="20"/>
      <c r="O61" s="20"/>
      <c r="P61" s="22" t="s">
        <v>58</v>
      </c>
      <c r="Q61" s="20"/>
      <c r="R61" s="20" t="s">
        <v>60</v>
      </c>
      <c r="S61" s="17" t="s">
        <v>435</v>
      </c>
      <c r="T61" s="17" t="s">
        <v>62</v>
      </c>
      <c r="U61" s="17"/>
      <c r="V61" s="21" t="s">
        <v>441</v>
      </c>
      <c r="W61" s="17" t="s">
        <v>437</v>
      </c>
    </row>
    <row r="62" customFormat="false" ht="24.75" hidden="false" customHeight="true" outlineLevel="0" collapsed="false">
      <c r="A62" s="15" t="s">
        <v>442</v>
      </c>
      <c r="B62" s="16" t="s">
        <v>89</v>
      </c>
      <c r="C62" s="17" t="s">
        <v>432</v>
      </c>
      <c r="D62" s="17" t="s">
        <v>443</v>
      </c>
      <c r="E62" s="17" t="s">
        <v>89</v>
      </c>
      <c r="F62" s="15" t="s">
        <v>90</v>
      </c>
      <c r="G62" s="15" t="s">
        <v>81</v>
      </c>
      <c r="H62" s="17" t="s">
        <v>444</v>
      </c>
      <c r="I62" s="17"/>
      <c r="J62" s="17"/>
      <c r="K62" s="17"/>
      <c r="L62" s="18" t="s">
        <v>59</v>
      </c>
      <c r="M62" s="20"/>
      <c r="N62" s="20"/>
      <c r="O62" s="20"/>
      <c r="P62" s="22" t="s">
        <v>58</v>
      </c>
      <c r="Q62" s="20"/>
      <c r="R62" s="20" t="s">
        <v>60</v>
      </c>
      <c r="S62" s="17" t="s">
        <v>435</v>
      </c>
      <c r="T62" s="17" t="s">
        <v>62</v>
      </c>
      <c r="U62" s="17"/>
      <c r="V62" s="21" t="s">
        <v>445</v>
      </c>
      <c r="W62" s="17" t="s">
        <v>437</v>
      </c>
    </row>
    <row r="63" customFormat="false" ht="24.75" hidden="false" customHeight="true" outlineLevel="0" collapsed="false">
      <c r="A63" s="15" t="s">
        <v>446</v>
      </c>
      <c r="B63" s="16" t="s">
        <v>80</v>
      </c>
      <c r="C63" s="17" t="s">
        <v>432</v>
      </c>
      <c r="D63" s="17" t="s">
        <v>447</v>
      </c>
      <c r="E63" s="17" t="s">
        <v>80</v>
      </c>
      <c r="F63" s="15" t="s">
        <v>81</v>
      </c>
      <c r="G63" s="15" t="s">
        <v>70</v>
      </c>
      <c r="H63" s="17" t="s">
        <v>448</v>
      </c>
      <c r="I63" s="17"/>
      <c r="J63" s="17"/>
      <c r="K63" s="17"/>
      <c r="L63" s="18" t="s">
        <v>59</v>
      </c>
      <c r="M63" s="20"/>
      <c r="N63" s="20"/>
      <c r="O63" s="20"/>
      <c r="P63" s="22" t="s">
        <v>58</v>
      </c>
      <c r="Q63" s="20"/>
      <c r="R63" s="20" t="s">
        <v>60</v>
      </c>
      <c r="S63" s="17" t="s">
        <v>435</v>
      </c>
      <c r="T63" s="17" t="s">
        <v>62</v>
      </c>
      <c r="U63" s="17"/>
      <c r="V63" s="21" t="s">
        <v>449</v>
      </c>
      <c r="W63" s="17" t="s">
        <v>437</v>
      </c>
    </row>
    <row r="64" customFormat="false" ht="24.75" hidden="false" customHeight="true" outlineLevel="0" collapsed="false">
      <c r="A64" s="15" t="s">
        <v>450</v>
      </c>
      <c r="B64" s="16" t="s">
        <v>69</v>
      </c>
      <c r="C64" s="17" t="s">
        <v>432</v>
      </c>
      <c r="D64" s="17" t="s">
        <v>451</v>
      </c>
      <c r="E64" s="17" t="s">
        <v>69</v>
      </c>
      <c r="F64" s="15" t="s">
        <v>70</v>
      </c>
      <c r="G64" s="15" t="s">
        <v>71</v>
      </c>
      <c r="H64" s="17" t="s">
        <v>452</v>
      </c>
      <c r="I64" s="17"/>
      <c r="J64" s="17"/>
      <c r="K64" s="17"/>
      <c r="L64" s="18" t="s">
        <v>59</v>
      </c>
      <c r="M64" s="20"/>
      <c r="N64" s="20"/>
      <c r="O64" s="20"/>
      <c r="P64" s="22" t="s">
        <v>58</v>
      </c>
      <c r="Q64" s="20"/>
      <c r="R64" s="20" t="s">
        <v>60</v>
      </c>
      <c r="S64" s="17" t="s">
        <v>435</v>
      </c>
      <c r="T64" s="17" t="s">
        <v>62</v>
      </c>
      <c r="U64" s="17"/>
      <c r="V64" s="21" t="s">
        <v>453</v>
      </c>
      <c r="W64" s="17" t="s">
        <v>437</v>
      </c>
    </row>
    <row r="65" customFormat="false" ht="24.75" hidden="false" customHeight="true" outlineLevel="0" collapsed="false">
      <c r="A65" s="15" t="s">
        <v>454</v>
      </c>
      <c r="B65" s="16" t="s">
        <v>52</v>
      </c>
      <c r="C65" s="17" t="s">
        <v>432</v>
      </c>
      <c r="D65" s="17" t="s">
        <v>455</v>
      </c>
      <c r="E65" s="17" t="s">
        <v>52</v>
      </c>
      <c r="F65" s="15" t="s">
        <v>53</v>
      </c>
      <c r="G65" s="15" t="s">
        <v>54</v>
      </c>
      <c r="H65" s="17" t="s">
        <v>456</v>
      </c>
      <c r="I65" s="17"/>
      <c r="J65" s="17"/>
      <c r="K65" s="17"/>
      <c r="L65" s="18" t="s">
        <v>59</v>
      </c>
      <c r="M65" s="20"/>
      <c r="N65" s="20"/>
      <c r="O65" s="20"/>
      <c r="P65" s="22" t="s">
        <v>58</v>
      </c>
      <c r="Q65" s="20"/>
      <c r="R65" s="20" t="s">
        <v>60</v>
      </c>
      <c r="S65" s="17" t="s">
        <v>435</v>
      </c>
      <c r="T65" s="17" t="s">
        <v>62</v>
      </c>
      <c r="U65" s="17"/>
      <c r="V65" s="21" t="s">
        <v>457</v>
      </c>
      <c r="W65" s="17" t="s">
        <v>437</v>
      </c>
    </row>
  </sheetData>
  <autoFilter ref="A1:W65"/>
  <dataValidations count="2">
    <dataValidation allowBlank="true" errorStyle="stop" operator="between" showDropDown="false" showErrorMessage="false" showInputMessage="false" sqref="L2:Q124" type="list">
      <formula1>"●,○"</formula1>
      <formula2>0</formula2>
    </dataValidation>
    <dataValidation allowBlank="true" errorStyle="stop" operator="between" showDropDown="false" showErrorMessage="false" showInputMessage="false" sqref="R2:R124" type="list">
      <formula1>"Yes,Maybe,Archive,No"</formula1>
      <formula2>0</formula2>
    </dataValidation>
  </dataValidations>
  <hyperlinks>
    <hyperlink ref="K33" r:id="rId2" display="https://contact-flow-web.vercel.app"/>
    <hyperlink ref="K34" r:id="rId3" display="https://job-paper.vercel.app"/>
    <hyperlink ref="K35" r:id="rId4" display="https://collateral-damage.vercel.app"/>
    <hyperlink ref="K36" r:id="rId5" display="https://jaylee-app.vercel.app"/>
    <hyperlink ref="K37" r:id="rId6" display="https://gradient-ui.vercel.app"/>
    <hyperlink ref="K38" r:id="rId7" display="https://gold-star-man.vercel.app"/>
    <hyperlink ref="K43" r:id="rId8" display="https://luminous-horse-8a5278.netlify.app"/>
    <hyperlink ref="K44" r:id="rId9" display="https://strong-paletas-d76f45.netlify.ap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
  <legacy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21" zoomScaleNormal="121" zoomScalePageLayoutView="100" workbookViewId="0">
      <selection pane="topLeft" activeCell="C26" activeCellId="0" sqref="C26"/>
    </sheetView>
  </sheetViews>
  <sheetFormatPr defaultColWidth="8.6328125" defaultRowHeight="14.25" zeroHeight="false" outlineLevelRow="0" outlineLevelCol="0"/>
  <cols>
    <col collapsed="false" customWidth="true" hidden="false" outlineLevel="0" max="1" min="1" style="1" width="16"/>
    <col collapsed="false" customWidth="true" hidden="false" outlineLevel="0" max="2" min="2" style="1" width="10"/>
    <col collapsed="false" customWidth="true" hidden="false" outlineLevel="0" max="3" min="3" style="1" width="15"/>
    <col collapsed="false" customWidth="true" hidden="false" outlineLevel="0" max="4" min="4" style="1" width="20"/>
    <col collapsed="false" customWidth="true" hidden="false" outlineLevel="0" max="6" min="5" style="1" width="11"/>
    <col collapsed="false" customWidth="true" hidden="false" outlineLevel="0" max="7" min="7" style="1" width="10"/>
    <col collapsed="false" customWidth="true" hidden="false" outlineLevel="0" max="8" min="8" style="1" width="40"/>
  </cols>
  <sheetData>
    <row r="1" customFormat="false" ht="14.25" hidden="false" customHeight="true" outlineLevel="0" collapsed="false">
      <c r="A1" s="27" t="s">
        <v>458</v>
      </c>
      <c r="B1" s="27" t="s">
        <v>459</v>
      </c>
      <c r="C1" s="27" t="s">
        <v>460</v>
      </c>
      <c r="D1" s="27" t="s">
        <v>461</v>
      </c>
      <c r="E1" s="27" t="s">
        <v>462</v>
      </c>
      <c r="F1" s="27" t="s">
        <v>463</v>
      </c>
      <c r="G1" s="27" t="s">
        <v>464</v>
      </c>
      <c r="H1" s="27" t="s">
        <v>465</v>
      </c>
    </row>
    <row r="2" customFormat="false" ht="14.25" hidden="false" customHeight="true" outlineLevel="0" collapsed="false">
      <c r="A2" s="28" t="s">
        <v>35</v>
      </c>
      <c r="B2" s="29" t="n">
        <f aca="false">COUNTIF(Artifacts!$L$2:$L$124,"●")</f>
        <v>7</v>
      </c>
      <c r="C2" s="29" t="n">
        <f aca="false">COUNTIF(Artifacts!$L$2:$L$124,"●")+COUNTIF(Artifacts!$L$2:$L$124,"○")</f>
        <v>20</v>
      </c>
      <c r="D2" s="29" t="n">
        <f aca="false">COUNTIFS(Artifacts!$L$2:$L$124,"●",Artifacts!$R$2:$R$124,"Yes")</f>
        <v>4</v>
      </c>
      <c r="E2" s="30" t="n">
        <v>6</v>
      </c>
      <c r="F2" s="30" t="n">
        <v>8</v>
      </c>
      <c r="G2" s="29" t="str">
        <f aca="false">IF(D2&lt;E2,"Add",IF(D2&gt;F2,"Trim","OK"))</f>
        <v>Add</v>
      </c>
      <c r="H2" s="29" t="s">
        <v>466</v>
      </c>
    </row>
    <row r="3" customFormat="false" ht="14.25" hidden="false" customHeight="true" outlineLevel="0" collapsed="false">
      <c r="A3" s="28" t="s">
        <v>36</v>
      </c>
      <c r="B3" s="29" t="n">
        <f aca="false">COUNTIF(Artifacts!$M$2:$M$124,"●")</f>
        <v>11</v>
      </c>
      <c r="C3" s="29" t="n">
        <f aca="false">COUNTIF(Artifacts!$M$2:$M$124,"●")+COUNTIF(Artifacts!$M$2:$M$124,"○")</f>
        <v>24</v>
      </c>
      <c r="D3" s="29" t="n">
        <f aca="false">COUNTIFS(Artifacts!$M$2:$M$124,"●",Artifacts!$R$2:$R$124,"Yes")</f>
        <v>7</v>
      </c>
      <c r="E3" s="30" t="n">
        <v>3</v>
      </c>
      <c r="F3" s="30" t="n">
        <v>7</v>
      </c>
      <c r="G3" s="29" t="str">
        <f aca="false">IF(D3&lt;E3,"Add",IF(D3&gt;F3,"Trim","OK"))</f>
        <v>OK</v>
      </c>
      <c r="H3" s="29" t="s">
        <v>467</v>
      </c>
    </row>
    <row r="4" customFormat="false" ht="14.25" hidden="false" customHeight="true" outlineLevel="0" collapsed="false">
      <c r="A4" s="28" t="s">
        <v>37</v>
      </c>
      <c r="B4" s="29" t="n">
        <f aca="false">COUNTIF(Artifacts!$N$2:$N$124,"●")</f>
        <v>6</v>
      </c>
      <c r="C4" s="29" t="n">
        <f aca="false">COUNTIF(Artifacts!$N$2:$N$124,"●")+COUNTIF(Artifacts!$N$2:$N$124,"○")</f>
        <v>14</v>
      </c>
      <c r="D4" s="29" t="n">
        <f aca="false">COUNTIFS(Artifacts!$N$2:$N$124,"●",Artifacts!$R$2:$R$124,"Yes")</f>
        <v>6</v>
      </c>
      <c r="E4" s="30" t="n">
        <v>4</v>
      </c>
      <c r="F4" s="30" t="n">
        <v>6</v>
      </c>
      <c r="G4" s="29" t="str">
        <f aca="false">IF(D4&lt;E4,"Add",IF(D4&gt;F4,"Trim","OK"))</f>
        <v>OK</v>
      </c>
      <c r="H4" s="29" t="s">
        <v>468</v>
      </c>
    </row>
    <row r="5" customFormat="false" ht="14.25" hidden="false" customHeight="true" outlineLevel="0" collapsed="false">
      <c r="A5" s="28" t="s">
        <v>38</v>
      </c>
      <c r="B5" s="29" t="n">
        <f aca="false">COUNTIF(Artifacts!$O$2:$O$124,"●")</f>
        <v>11</v>
      </c>
      <c r="C5" s="29" t="n">
        <f aca="false">COUNTIF(Artifacts!$O$2:$O$124,"●")+COUNTIF(Artifacts!$O$2:$O$124,"○")</f>
        <v>17</v>
      </c>
      <c r="D5" s="29" t="n">
        <f aca="false">COUNTIFS(Artifacts!$O$2:$O$124,"●",Artifacts!$R$2:$R$124,"Yes")</f>
        <v>11</v>
      </c>
      <c r="E5" s="30" t="n">
        <v>3</v>
      </c>
      <c r="F5" s="30" t="n">
        <v>12</v>
      </c>
      <c r="G5" s="29" t="str">
        <f aca="false">IF(D5&lt;E5,"Add",IF(D5&gt;F5,"Trim","OK"))</f>
        <v>OK</v>
      </c>
      <c r="H5" s="29" t="s">
        <v>469</v>
      </c>
    </row>
    <row r="6" customFormat="false" ht="14.25" hidden="false" customHeight="true" outlineLevel="0" collapsed="false">
      <c r="A6" s="28" t="s">
        <v>39</v>
      </c>
      <c r="B6" s="29" t="n">
        <f aca="false">COUNTIF(Artifacts!$P$2:$P$124,"●")</f>
        <v>6</v>
      </c>
      <c r="C6" s="29" t="n">
        <f aca="false">COUNTIF(Artifacts!$P$2:$P$124,"●")+COUNTIF(Artifacts!$P$2:$P$124,"○")</f>
        <v>24</v>
      </c>
      <c r="D6" s="29" t="n">
        <f aca="false">COUNTIFS(Artifacts!$P$2:$P$124,"●",Artifacts!$R$2:$R$124,"Yes")</f>
        <v>6</v>
      </c>
      <c r="E6" s="30" t="n">
        <v>6</v>
      </c>
      <c r="F6" s="30" t="n">
        <v>12</v>
      </c>
      <c r="G6" s="29" t="str">
        <f aca="false">IF(D6&lt;E6,"Add",IF(D6&gt;F6,"Trim","OK"))</f>
        <v>OK</v>
      </c>
      <c r="H6" s="29" t="s">
        <v>470</v>
      </c>
    </row>
    <row r="7" customFormat="false" ht="14.25" hidden="false" customHeight="true" outlineLevel="0" collapsed="false">
      <c r="A7" s="28" t="s">
        <v>40</v>
      </c>
      <c r="B7" s="29" t="n">
        <f aca="false">COUNTIF(Artifacts!$Q$2:$Q$124,"●")</f>
        <v>14</v>
      </c>
      <c r="C7" s="29" t="n">
        <f aca="false">COUNTIF(Artifacts!$Q$2:$Q$124,"●")+COUNTIF(Artifacts!$Q$2:$Q$124,"○")</f>
        <v>16</v>
      </c>
      <c r="D7" s="29" t="n">
        <f aca="false">COUNTIFS(Artifacts!$Q$2:$Q$124,"●",Artifacts!$R$2:$R$124,"Yes")</f>
        <v>7</v>
      </c>
      <c r="E7" s="30" t="n">
        <v>2</v>
      </c>
      <c r="F7" s="30" t="n">
        <v>6</v>
      </c>
      <c r="G7" s="29" t="str">
        <f aca="false">IF(D7&lt;E7,"Add",IF(D7&gt;F7,"Trim","OK"))</f>
        <v>Trim</v>
      </c>
      <c r="H7" s="29" t="s">
        <v>471</v>
      </c>
    </row>
    <row r="8" customFormat="false" ht="14.25" hidden="false" customHeight="true" outlineLevel="0" collapsed="false">
      <c r="A8" s="28"/>
      <c r="B8" s="29"/>
      <c r="C8" s="29"/>
      <c r="D8" s="29"/>
      <c r="E8" s="29"/>
      <c r="F8" s="29"/>
      <c r="G8" s="29"/>
      <c r="H8" s="29"/>
    </row>
    <row r="9" customFormat="false" ht="14.25" hidden="false" customHeight="true" outlineLevel="0" collapsed="false">
      <c r="A9" s="28" t="s">
        <v>472</v>
      </c>
      <c r="B9" s="29" t="n">
        <f aca="false">COUNTA(Artifacts!$C$2:$C$124)</f>
        <v>56</v>
      </c>
      <c r="C9" s="29"/>
      <c r="D9" s="29"/>
      <c r="E9" s="29"/>
      <c r="F9" s="29"/>
      <c r="G9" s="29"/>
      <c r="H9" s="29"/>
    </row>
    <row r="11" customFormat="false" ht="14.25" hidden="false" customHeight="true" outlineLevel="0" collapsed="false">
      <c r="A11" s="31" t="s">
        <v>473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27" activeCellId="0" sqref="A27"/>
    </sheetView>
  </sheetViews>
  <sheetFormatPr defaultColWidth="8.6328125" defaultRowHeight="14.25"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3" min="3" style="1" width="14"/>
    <col collapsed="false" customWidth="true" hidden="false" outlineLevel="0" max="4" min="4" style="1" width="8"/>
    <col collapsed="false" customWidth="true" hidden="false" outlineLevel="0" max="5" min="5" style="1" width="9"/>
    <col collapsed="false" customWidth="true" hidden="false" outlineLevel="0" max="6" min="6" style="1" width="40"/>
    <col collapsed="false" customWidth="true" hidden="false" outlineLevel="0" max="7" min="7" style="1" width="8"/>
    <col collapsed="false" customWidth="true" hidden="false" outlineLevel="0" max="8" min="8" style="1" width="9"/>
    <col collapsed="false" customWidth="true" hidden="false" outlineLevel="0" max="9" min="9" style="1" width="13"/>
    <col collapsed="false" customWidth="true" hidden="false" outlineLevel="0" max="10" min="10" style="1" width="30"/>
  </cols>
  <sheetData>
    <row r="1" customFormat="false" ht="14.25" hidden="false" customHeight="true" outlineLevel="0" collapsed="false">
      <c r="A1" s="27" t="s">
        <v>474</v>
      </c>
      <c r="B1" s="27" t="s">
        <v>475</v>
      </c>
      <c r="C1" s="27" t="s">
        <v>476</v>
      </c>
      <c r="D1" s="27" t="s">
        <v>477</v>
      </c>
      <c r="E1" s="27" t="s">
        <v>478</v>
      </c>
      <c r="F1" s="27" t="s">
        <v>479</v>
      </c>
      <c r="G1" s="27" t="s">
        <v>480</v>
      </c>
      <c r="H1" s="27" t="s">
        <v>481</v>
      </c>
      <c r="I1" s="27" t="s">
        <v>482</v>
      </c>
      <c r="J1" s="27" t="s">
        <v>465</v>
      </c>
    </row>
    <row r="2" customFormat="false" ht="14.25" hidden="false" customHeight="true" outlineLevel="0" collapsed="false">
      <c r="A2" s="16" t="s">
        <v>431</v>
      </c>
      <c r="B2" s="17" t="s">
        <v>483</v>
      </c>
      <c r="C2" s="17" t="s">
        <v>451</v>
      </c>
      <c r="D2" s="17"/>
      <c r="E2" s="17" t="s">
        <v>108</v>
      </c>
      <c r="F2" s="17" t="s">
        <v>433</v>
      </c>
      <c r="G2" s="17" t="n">
        <v>42.08</v>
      </c>
      <c r="H2" s="17" t="n">
        <v>-87.72</v>
      </c>
      <c r="I2" s="21" t="s">
        <v>60</v>
      </c>
      <c r="J2" s="21" t="s">
        <v>484</v>
      </c>
    </row>
    <row r="3" customFormat="false" ht="14.25" hidden="false" customHeight="true" outlineLevel="0" collapsed="false">
      <c r="A3" s="16" t="s">
        <v>107</v>
      </c>
      <c r="B3" s="17" t="s">
        <v>483</v>
      </c>
      <c r="C3" s="17" t="s">
        <v>451</v>
      </c>
      <c r="D3" s="17" t="s">
        <v>108</v>
      </c>
      <c r="E3" s="17" t="s">
        <v>90</v>
      </c>
      <c r="F3" s="17" t="s">
        <v>106</v>
      </c>
      <c r="G3" s="17" t="n">
        <v>38.97</v>
      </c>
      <c r="H3" s="17" t="n">
        <v>-95.24</v>
      </c>
      <c r="I3" s="21" t="s">
        <v>60</v>
      </c>
      <c r="J3" s="21" t="s">
        <v>485</v>
      </c>
    </row>
    <row r="4" customFormat="false" ht="14.25" hidden="false" customHeight="true" outlineLevel="0" collapsed="false">
      <c r="A4" s="16" t="s">
        <v>89</v>
      </c>
      <c r="B4" s="17" t="s">
        <v>483</v>
      </c>
      <c r="C4" s="17" t="s">
        <v>443</v>
      </c>
      <c r="D4" s="17" t="s">
        <v>90</v>
      </c>
      <c r="E4" s="17" t="s">
        <v>81</v>
      </c>
      <c r="F4" s="17" t="s">
        <v>486</v>
      </c>
      <c r="G4" s="17" t="n">
        <v>41.88</v>
      </c>
      <c r="H4" s="17" t="n">
        <v>-87.63</v>
      </c>
      <c r="I4" s="21" t="s">
        <v>60</v>
      </c>
      <c r="J4" s="21" t="s">
        <v>485</v>
      </c>
    </row>
    <row r="5" customFormat="false" ht="14.25" hidden="false" customHeight="true" outlineLevel="0" collapsed="false">
      <c r="A5" s="16" t="s">
        <v>487</v>
      </c>
      <c r="B5" s="17" t="s">
        <v>424</v>
      </c>
      <c r="C5" s="17" t="s">
        <v>451</v>
      </c>
      <c r="D5" s="17" t="s">
        <v>81</v>
      </c>
      <c r="E5" s="17" t="s">
        <v>70</v>
      </c>
      <c r="F5" s="17" t="s">
        <v>488</v>
      </c>
      <c r="G5" s="17" t="n">
        <v>45.46</v>
      </c>
      <c r="H5" s="17" t="n">
        <v>9.19</v>
      </c>
      <c r="I5" s="21" t="s">
        <v>60</v>
      </c>
      <c r="J5" s="21" t="s">
        <v>485</v>
      </c>
    </row>
    <row r="6" customFormat="false" ht="23.25" hidden="false" customHeight="true" outlineLevel="0" collapsed="false">
      <c r="A6" s="16" t="s">
        <v>69</v>
      </c>
      <c r="B6" s="17" t="s">
        <v>483</v>
      </c>
      <c r="C6" s="17" t="s">
        <v>451</v>
      </c>
      <c r="D6" s="17" t="s">
        <v>70</v>
      </c>
      <c r="E6" s="17" t="s">
        <v>53</v>
      </c>
      <c r="F6" s="17" t="s">
        <v>489</v>
      </c>
      <c r="G6" s="17" t="n">
        <v>32.78</v>
      </c>
      <c r="H6" s="17" t="n">
        <v>-96.8</v>
      </c>
      <c r="I6" s="21" t="s">
        <v>60</v>
      </c>
      <c r="J6" s="21" t="s">
        <v>490</v>
      </c>
    </row>
    <row r="7" customFormat="false" ht="14.25" hidden="false" customHeight="true" outlineLevel="0" collapsed="false">
      <c r="A7" s="16" t="s">
        <v>52</v>
      </c>
      <c r="B7" s="17" t="s">
        <v>483</v>
      </c>
      <c r="C7" s="17" t="s">
        <v>455</v>
      </c>
      <c r="D7" s="17" t="s">
        <v>53</v>
      </c>
      <c r="E7" s="17" t="s">
        <v>54</v>
      </c>
      <c r="F7" s="17" t="s">
        <v>491</v>
      </c>
      <c r="G7" s="17" t="n">
        <v>30.27</v>
      </c>
      <c r="H7" s="17" t="n">
        <v>-97.74</v>
      </c>
      <c r="I7" s="21" t="s">
        <v>60</v>
      </c>
      <c r="J7" s="21" t="s">
        <v>492</v>
      </c>
    </row>
    <row r="8" customFormat="false" ht="24.75" hidden="false" customHeight="true" outlineLevel="0" collapsed="false">
      <c r="A8" s="16" t="s">
        <v>148</v>
      </c>
      <c r="B8" s="17" t="s">
        <v>483</v>
      </c>
      <c r="C8" s="17" t="s">
        <v>493</v>
      </c>
      <c r="D8" s="17"/>
      <c r="E8" s="17"/>
      <c r="F8" s="17" t="s">
        <v>494</v>
      </c>
      <c r="G8" s="17" t="n">
        <v>29.76</v>
      </c>
      <c r="H8" s="17" t="n">
        <v>-95.37</v>
      </c>
      <c r="I8" s="21" t="s">
        <v>215</v>
      </c>
      <c r="J8" s="21"/>
    </row>
    <row r="9" customFormat="false" ht="14.25" hidden="false" customHeight="true" outlineLevel="0" collapsed="false">
      <c r="A9" s="16" t="s">
        <v>159</v>
      </c>
      <c r="B9" s="17" t="s">
        <v>483</v>
      </c>
      <c r="C9" s="17" t="s">
        <v>493</v>
      </c>
      <c r="D9" s="17"/>
      <c r="E9" s="17"/>
      <c r="F9" s="17" t="s">
        <v>495</v>
      </c>
      <c r="G9" s="17" t="n">
        <v>33.43</v>
      </c>
      <c r="H9" s="17" t="n">
        <v>-111.94</v>
      </c>
      <c r="I9" s="21" t="s">
        <v>215</v>
      </c>
      <c r="J9" s="21"/>
    </row>
    <row r="10" customFormat="false" ht="14.25" hidden="false" customHeight="true" outlineLevel="0" collapsed="false">
      <c r="A10" s="16" t="s">
        <v>225</v>
      </c>
      <c r="B10" s="17" t="s">
        <v>483</v>
      </c>
      <c r="C10" s="17" t="s">
        <v>493</v>
      </c>
      <c r="D10" s="17"/>
      <c r="E10" s="17"/>
      <c r="F10" s="17" t="s">
        <v>496</v>
      </c>
      <c r="G10" s="17" t="n">
        <v>32.76</v>
      </c>
      <c r="H10" s="17" t="n">
        <v>-97.33</v>
      </c>
      <c r="I10" s="21" t="s">
        <v>62</v>
      </c>
      <c r="J10" s="21"/>
    </row>
    <row r="11" customFormat="false" ht="14.25" hidden="false" customHeight="true" outlineLevel="0" collapsed="false">
      <c r="A11" s="16" t="s">
        <v>497</v>
      </c>
      <c r="B11" s="17" t="s">
        <v>483</v>
      </c>
      <c r="C11" s="17" t="s">
        <v>498</v>
      </c>
      <c r="D11" s="17" t="s">
        <v>90</v>
      </c>
      <c r="E11" s="17" t="s">
        <v>90</v>
      </c>
      <c r="F11" s="17" t="s">
        <v>499</v>
      </c>
      <c r="G11" s="17" t="n">
        <v>40.81</v>
      </c>
      <c r="H11" s="17" t="n">
        <v>-96.7</v>
      </c>
      <c r="I11" s="21" t="s">
        <v>62</v>
      </c>
      <c r="J11" s="21"/>
    </row>
    <row r="12" customFormat="false" ht="14.25" hidden="false" customHeight="true" outlineLevel="0" collapsed="false">
      <c r="A12" s="16" t="s">
        <v>500</v>
      </c>
      <c r="B12" s="17" t="s">
        <v>385</v>
      </c>
      <c r="C12" s="17" t="s">
        <v>501</v>
      </c>
      <c r="D12" s="17" t="s">
        <v>502</v>
      </c>
      <c r="E12" s="17" t="s">
        <v>502</v>
      </c>
      <c r="F12" s="17" t="s">
        <v>503</v>
      </c>
      <c r="G12" s="17" t="n">
        <v>39.57</v>
      </c>
      <c r="H12" s="17" t="n">
        <v>2.65</v>
      </c>
      <c r="I12" s="21" t="s">
        <v>60</v>
      </c>
      <c r="J12" s="21"/>
    </row>
    <row r="13" customFormat="false" ht="14.25" hidden="false" customHeight="true" outlineLevel="0" collapsed="false">
      <c r="A13" s="16" t="s">
        <v>504</v>
      </c>
      <c r="B13" s="17" t="s">
        <v>394</v>
      </c>
      <c r="C13" s="17" t="s">
        <v>501</v>
      </c>
      <c r="D13" s="17" t="s">
        <v>502</v>
      </c>
      <c r="E13" s="17" t="s">
        <v>502</v>
      </c>
      <c r="F13" s="17" t="s">
        <v>505</v>
      </c>
      <c r="G13" s="17" t="n">
        <v>38.72</v>
      </c>
      <c r="H13" s="17" t="n">
        <v>-9.14</v>
      </c>
      <c r="I13" s="21" t="s">
        <v>60</v>
      </c>
      <c r="J13" s="21"/>
    </row>
    <row r="14" customFormat="false" ht="14.25" hidden="false" customHeight="true" outlineLevel="0" collapsed="false">
      <c r="A14" s="16" t="s">
        <v>506</v>
      </c>
      <c r="B14" s="17" t="s">
        <v>398</v>
      </c>
      <c r="C14" s="17" t="s">
        <v>501</v>
      </c>
      <c r="D14" s="17" t="s">
        <v>53</v>
      </c>
      <c r="E14" s="17" t="s">
        <v>53</v>
      </c>
      <c r="F14" s="17" t="s">
        <v>507</v>
      </c>
      <c r="G14" s="17"/>
      <c r="H14" s="17"/>
      <c r="I14" s="21" t="s">
        <v>60</v>
      </c>
      <c r="J14" s="21" t="s">
        <v>508</v>
      </c>
    </row>
    <row r="15" customFormat="false" ht="14.25" hidden="false" customHeight="true" outlineLevel="0" collapsed="false">
      <c r="A15" s="16" t="s">
        <v>402</v>
      </c>
      <c r="B15" s="17" t="s">
        <v>402</v>
      </c>
      <c r="C15" s="17" t="s">
        <v>501</v>
      </c>
      <c r="D15" s="17" t="s">
        <v>53</v>
      </c>
      <c r="E15" s="17" t="s">
        <v>53</v>
      </c>
      <c r="F15" s="17" t="s">
        <v>509</v>
      </c>
      <c r="G15" s="17"/>
      <c r="H15" s="17"/>
      <c r="I15" s="21" t="s">
        <v>60</v>
      </c>
      <c r="J15" s="21" t="s">
        <v>508</v>
      </c>
    </row>
    <row r="16" customFormat="false" ht="14.25" hidden="false" customHeight="true" outlineLevel="0" collapsed="false">
      <c r="A16" s="16" t="s">
        <v>510</v>
      </c>
      <c r="B16" s="17" t="s">
        <v>483</v>
      </c>
      <c r="C16" s="17" t="s">
        <v>501</v>
      </c>
      <c r="D16" s="17" t="s">
        <v>53</v>
      </c>
      <c r="E16" s="17" t="s">
        <v>53</v>
      </c>
      <c r="F16" s="17" t="s">
        <v>511</v>
      </c>
      <c r="G16" s="17"/>
      <c r="H16" s="17"/>
      <c r="I16" s="21" t="s">
        <v>60</v>
      </c>
      <c r="J16" s="21" t="s">
        <v>508</v>
      </c>
    </row>
    <row r="17" customFormat="false" ht="14.25" hidden="false" customHeight="true" outlineLevel="0" collapsed="false">
      <c r="A17" s="16" t="s">
        <v>410</v>
      </c>
      <c r="B17" s="17" t="s">
        <v>410</v>
      </c>
      <c r="C17" s="17" t="s">
        <v>501</v>
      </c>
      <c r="D17" s="17" t="s">
        <v>71</v>
      </c>
      <c r="E17" s="17" t="s">
        <v>71</v>
      </c>
      <c r="F17" s="17" t="s">
        <v>512</v>
      </c>
      <c r="G17" s="17" t="n">
        <v>-22.97</v>
      </c>
      <c r="H17" s="17" t="n">
        <v>-43.18</v>
      </c>
      <c r="I17" s="21" t="s">
        <v>60</v>
      </c>
      <c r="J17" s="21" t="s">
        <v>513</v>
      </c>
    </row>
    <row r="18" customFormat="false" ht="14.25" hidden="false" customHeight="true" outlineLevel="0" collapsed="false">
      <c r="A18" s="16" t="s">
        <v>414</v>
      </c>
      <c r="B18" s="17" t="s">
        <v>414</v>
      </c>
      <c r="C18" s="17" t="s">
        <v>501</v>
      </c>
      <c r="D18" s="17" t="s">
        <v>514</v>
      </c>
      <c r="E18" s="17" t="s">
        <v>514</v>
      </c>
      <c r="F18" s="17" t="s">
        <v>515</v>
      </c>
      <c r="G18" s="17"/>
      <c r="H18" s="17"/>
      <c r="I18" s="21" t="s">
        <v>60</v>
      </c>
      <c r="J18" s="21" t="s">
        <v>508</v>
      </c>
    </row>
    <row r="19" customFormat="false" ht="14.25" hidden="false" customHeight="true" outlineLevel="0" collapsed="false">
      <c r="A19" s="16" t="s">
        <v>516</v>
      </c>
      <c r="B19" s="17" t="s">
        <v>483</v>
      </c>
      <c r="C19" s="17" t="s">
        <v>501</v>
      </c>
      <c r="D19" s="17" t="s">
        <v>514</v>
      </c>
      <c r="E19" s="17" t="s">
        <v>514</v>
      </c>
      <c r="F19" s="17" t="s">
        <v>517</v>
      </c>
      <c r="G19" s="17" t="n">
        <v>26.71</v>
      </c>
      <c r="H19" s="17" t="n">
        <v>-80.04</v>
      </c>
      <c r="I19" s="21" t="s">
        <v>215</v>
      </c>
      <c r="J19" s="21"/>
    </row>
    <row r="20" customFormat="false" ht="14.25" hidden="false" customHeight="true" outlineLevel="0" collapsed="false">
      <c r="A20" s="16" t="s">
        <v>518</v>
      </c>
      <c r="B20" s="17" t="s">
        <v>402</v>
      </c>
      <c r="C20" s="17" t="s">
        <v>501</v>
      </c>
      <c r="D20" s="17" t="s">
        <v>202</v>
      </c>
      <c r="E20" s="17" t="s">
        <v>202</v>
      </c>
      <c r="F20" s="17" t="s">
        <v>519</v>
      </c>
      <c r="G20" s="17" t="n">
        <v>19.43</v>
      </c>
      <c r="H20" s="17" t="n">
        <v>-99.13</v>
      </c>
      <c r="I20" s="21" t="s">
        <v>60</v>
      </c>
      <c r="J20" s="21"/>
    </row>
    <row r="21" customFormat="false" ht="24.75" hidden="false" customHeight="true" outlineLevel="0" collapsed="false">
      <c r="A21" s="16" t="s">
        <v>424</v>
      </c>
      <c r="B21" s="17" t="s">
        <v>424</v>
      </c>
      <c r="C21" s="17" t="s">
        <v>501</v>
      </c>
      <c r="D21" s="17" t="s">
        <v>70</v>
      </c>
      <c r="E21" s="17" t="s">
        <v>70</v>
      </c>
      <c r="F21" s="17" t="s">
        <v>520</v>
      </c>
      <c r="G21" s="17" t="n">
        <v>41.89</v>
      </c>
      <c r="H21" s="17" t="n">
        <v>12.49</v>
      </c>
      <c r="I21" s="21" t="s">
        <v>60</v>
      </c>
      <c r="J21" s="21" t="s">
        <v>521</v>
      </c>
    </row>
    <row r="22" customFormat="false" ht="14.25" hidden="false" customHeight="true" outlineLevel="0" collapsed="false">
      <c r="A22" s="16" t="s">
        <v>427</v>
      </c>
      <c r="B22" s="17" t="s">
        <v>427</v>
      </c>
      <c r="C22" s="17" t="s">
        <v>501</v>
      </c>
      <c r="D22" s="17" t="s">
        <v>202</v>
      </c>
      <c r="E22" s="17" t="s">
        <v>202</v>
      </c>
      <c r="F22" s="17" t="s">
        <v>522</v>
      </c>
      <c r="G22" s="17"/>
      <c r="H22" s="17"/>
      <c r="I22" s="21" t="s">
        <v>60</v>
      </c>
      <c r="J22" s="21"/>
    </row>
    <row r="24" customFormat="false" ht="14.25" hidden="false" customHeight="true" outlineLevel="0" collapsed="false">
      <c r="A24" s="31" t="s">
        <v>523</v>
      </c>
    </row>
    <row r="25" customFormat="false" ht="14.25" hidden="false" customHeight="true" outlineLevel="0" collapsed="false">
      <c r="A25" s="31" t="s">
        <v>524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4" activeCellId="0" sqref="A24"/>
    </sheetView>
  </sheetViews>
  <sheetFormatPr defaultColWidth="8.6328125" defaultRowHeight="14.25" zeroHeight="false" outlineLevelRow="0" outlineLevelCol="0"/>
  <cols>
    <col collapsed="false" customWidth="true" hidden="false" outlineLevel="0" max="1" min="1" style="1" width="6"/>
    <col collapsed="false" customWidth="true" hidden="false" outlineLevel="0" max="2" min="2" style="1" width="36"/>
    <col collapsed="false" customWidth="true" hidden="false" outlineLevel="0" max="3" min="3" style="1" width="24"/>
    <col collapsed="false" customWidth="true" hidden="false" outlineLevel="0" max="4" min="4" style="1" width="8"/>
    <col collapsed="false" customWidth="true" hidden="false" outlineLevel="0" max="5" min="5" style="1" width="9"/>
    <col collapsed="false" customWidth="true" hidden="false" outlineLevel="0" max="6" min="6" style="1" width="11"/>
    <col collapsed="false" customWidth="true" hidden="false" outlineLevel="0" max="7" min="7" style="1" width="20"/>
  </cols>
  <sheetData>
    <row r="1" customFormat="false" ht="14.25" hidden="false" customHeight="true" outlineLevel="0" collapsed="false">
      <c r="A1" s="27" t="s">
        <v>24</v>
      </c>
      <c r="B1" s="27" t="s">
        <v>525</v>
      </c>
      <c r="C1" s="27" t="s">
        <v>474</v>
      </c>
      <c r="D1" s="27" t="s">
        <v>526</v>
      </c>
      <c r="E1" s="27" t="s">
        <v>391</v>
      </c>
      <c r="F1" s="27" t="s">
        <v>41</v>
      </c>
      <c r="G1" s="27" t="s">
        <v>465</v>
      </c>
    </row>
    <row r="2" customFormat="false" ht="14.25" hidden="false" customHeight="true" outlineLevel="0" collapsed="false">
      <c r="A2" s="32" t="s">
        <v>381</v>
      </c>
      <c r="B2" s="33" t="s">
        <v>382</v>
      </c>
      <c r="C2" s="32" t="s">
        <v>385</v>
      </c>
      <c r="D2" s="32" t="n">
        <v>2026</v>
      </c>
      <c r="E2" s="32" t="n">
        <v>65</v>
      </c>
      <c r="F2" s="34" t="s">
        <v>60</v>
      </c>
      <c r="G2" s="32"/>
    </row>
    <row r="3" customFormat="false" ht="14.25" hidden="false" customHeight="true" outlineLevel="0" collapsed="false">
      <c r="A3" s="32" t="s">
        <v>392</v>
      </c>
      <c r="B3" s="33" t="s">
        <v>393</v>
      </c>
      <c r="C3" s="32" t="s">
        <v>394</v>
      </c>
      <c r="D3" s="32" t="n">
        <v>2026</v>
      </c>
      <c r="E3" s="32" t="n">
        <v>64</v>
      </c>
      <c r="F3" s="34" t="s">
        <v>60</v>
      </c>
      <c r="G3" s="32"/>
    </row>
    <row r="4" customFormat="false" ht="14.25" hidden="false" customHeight="true" outlineLevel="0" collapsed="false">
      <c r="A4" s="32" t="s">
        <v>396</v>
      </c>
      <c r="B4" s="33" t="s">
        <v>397</v>
      </c>
      <c r="C4" s="32" t="s">
        <v>398</v>
      </c>
      <c r="D4" s="32" t="s">
        <v>53</v>
      </c>
      <c r="E4" s="32" t="n">
        <v>267</v>
      </c>
      <c r="F4" s="34" t="s">
        <v>60</v>
      </c>
      <c r="G4" s="32"/>
    </row>
    <row r="5" customFormat="false" ht="14.25" hidden="false" customHeight="true" outlineLevel="0" collapsed="false">
      <c r="A5" s="32" t="s">
        <v>400</v>
      </c>
      <c r="B5" s="33" t="s">
        <v>401</v>
      </c>
      <c r="C5" s="32" t="s">
        <v>402</v>
      </c>
      <c r="D5" s="32" t="s">
        <v>53</v>
      </c>
      <c r="E5" s="32" t="n">
        <v>84</v>
      </c>
      <c r="F5" s="34" t="s">
        <v>60</v>
      </c>
      <c r="G5" s="32"/>
    </row>
    <row r="6" customFormat="false" ht="14.25" hidden="false" customHeight="true" outlineLevel="0" collapsed="false">
      <c r="A6" s="32" t="s">
        <v>404</v>
      </c>
      <c r="B6" s="33" t="s">
        <v>405</v>
      </c>
      <c r="C6" s="32" t="s">
        <v>406</v>
      </c>
      <c r="D6" s="32" t="s">
        <v>53</v>
      </c>
      <c r="E6" s="32" t="n">
        <v>39</v>
      </c>
      <c r="F6" s="34" t="s">
        <v>60</v>
      </c>
      <c r="G6" s="32"/>
    </row>
    <row r="7" customFormat="false" ht="14.25" hidden="false" customHeight="true" outlineLevel="0" collapsed="false">
      <c r="A7" s="32" t="s">
        <v>408</v>
      </c>
      <c r="B7" s="33" t="s">
        <v>409</v>
      </c>
      <c r="C7" s="32" t="s">
        <v>410</v>
      </c>
      <c r="D7" s="32" t="n">
        <v>2024</v>
      </c>
      <c r="E7" s="32" t="n">
        <v>177</v>
      </c>
      <c r="F7" s="34" t="s">
        <v>60</v>
      </c>
      <c r="G7" s="32"/>
    </row>
    <row r="8" customFormat="false" ht="14.25" hidden="false" customHeight="true" outlineLevel="0" collapsed="false">
      <c r="A8" s="32" t="s">
        <v>412</v>
      </c>
      <c r="B8" s="33" t="s">
        <v>413</v>
      </c>
      <c r="C8" s="32" t="s">
        <v>414</v>
      </c>
      <c r="D8" s="32" t="n">
        <v>2023</v>
      </c>
      <c r="E8" s="32" t="n">
        <v>106</v>
      </c>
      <c r="F8" s="34" t="s">
        <v>60</v>
      </c>
      <c r="G8" s="32"/>
    </row>
    <row r="9" customFormat="false" ht="14.25" hidden="false" customHeight="true" outlineLevel="0" collapsed="false">
      <c r="A9" s="32" t="s">
        <v>416</v>
      </c>
      <c r="B9" s="33" t="s">
        <v>417</v>
      </c>
      <c r="C9" s="32" t="s">
        <v>418</v>
      </c>
      <c r="D9" s="32" t="n">
        <v>2023</v>
      </c>
      <c r="E9" s="32" t="n">
        <v>39</v>
      </c>
      <c r="F9" s="34" t="s">
        <v>60</v>
      </c>
      <c r="G9" s="32"/>
    </row>
    <row r="10" customFormat="false" ht="14.25" hidden="false" customHeight="true" outlineLevel="0" collapsed="false">
      <c r="A10" s="32" t="s">
        <v>419</v>
      </c>
      <c r="B10" s="33" t="s">
        <v>420</v>
      </c>
      <c r="C10" s="32" t="s">
        <v>402</v>
      </c>
      <c r="D10" s="32" t="n">
        <v>2022</v>
      </c>
      <c r="E10" s="32" t="n">
        <v>59</v>
      </c>
      <c r="F10" s="34" t="s">
        <v>60</v>
      </c>
      <c r="G10" s="32"/>
    </row>
    <row r="11" customFormat="false" ht="14.25" hidden="false" customHeight="true" outlineLevel="0" collapsed="false">
      <c r="A11" s="32" t="s">
        <v>422</v>
      </c>
      <c r="B11" s="33" t="s">
        <v>423</v>
      </c>
      <c r="C11" s="32" t="s">
        <v>424</v>
      </c>
      <c r="D11" s="32" t="n">
        <v>2021</v>
      </c>
      <c r="E11" s="32" t="n">
        <v>59</v>
      </c>
      <c r="F11" s="34" t="s">
        <v>60</v>
      </c>
      <c r="G11" s="32"/>
    </row>
    <row r="12" customFormat="false" ht="14.25" hidden="false" customHeight="true" outlineLevel="0" collapsed="false">
      <c r="A12" s="32" t="s">
        <v>425</v>
      </c>
      <c r="B12" s="33" t="s">
        <v>426</v>
      </c>
      <c r="C12" s="32" t="s">
        <v>427</v>
      </c>
      <c r="D12" s="32" t="n">
        <v>2022</v>
      </c>
      <c r="E12" s="32" t="n">
        <v>53</v>
      </c>
      <c r="F12" s="34" t="s">
        <v>60</v>
      </c>
      <c r="G12" s="32"/>
    </row>
    <row r="13" customFormat="false" ht="14.25" hidden="false" customHeight="true" outlineLevel="0" collapsed="false">
      <c r="D13" s="28" t="s">
        <v>527</v>
      </c>
      <c r="E13" s="28" t="n">
        <f aca="false">SUM(E2:E12)</f>
        <v>1012</v>
      </c>
    </row>
    <row r="14" customFormat="false" ht="14.25" hidden="false" customHeight="true" outlineLevel="0" collapsed="false">
      <c r="D14" s="28" t="s">
        <v>528</v>
      </c>
      <c r="E14" s="28" t="n">
        <f aca="false">COUNTIF(F2:F12,"Yes")</f>
        <v>11</v>
      </c>
    </row>
    <row r="16" customFormat="false" ht="14.25" hidden="false" customHeight="true" outlineLevel="0" collapsed="false">
      <c r="A16" s="31" t="s">
        <v>529</v>
      </c>
    </row>
    <row r="19" customFormat="false" ht="14.25" hidden="false" customHeight="true" outlineLevel="0" collapsed="false">
      <c r="A19" s="1" t="s">
        <v>530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4" min="3" style="1" width="18"/>
    <col collapsed="false" customWidth="true" hidden="false" outlineLevel="0" max="5" min="5" style="1" width="32"/>
  </cols>
  <sheetData>
    <row r="1" customFormat="false" ht="15" hidden="false" customHeight="true" outlineLevel="0" collapsed="false">
      <c r="A1" s="27" t="s">
        <v>531</v>
      </c>
      <c r="B1" s="27" t="s">
        <v>475</v>
      </c>
      <c r="C1" s="27" t="s">
        <v>532</v>
      </c>
      <c r="D1" s="27" t="s">
        <v>533</v>
      </c>
      <c r="E1" s="27" t="s">
        <v>465</v>
      </c>
    </row>
    <row r="2" customFormat="false" ht="15" hidden="false" customHeight="true" outlineLevel="0" collapsed="false">
      <c r="A2" s="33" t="n">
        <v>1</v>
      </c>
      <c r="B2" s="33" t="s">
        <v>483</v>
      </c>
      <c r="C2" s="33" t="s">
        <v>534</v>
      </c>
      <c r="D2" s="33" t="s">
        <v>535</v>
      </c>
      <c r="E2" s="33"/>
    </row>
    <row r="3" customFormat="false" ht="15" hidden="false" customHeight="true" outlineLevel="0" collapsed="false">
      <c r="A3" s="33" t="n">
        <v>2</v>
      </c>
      <c r="B3" s="33" t="s">
        <v>536</v>
      </c>
      <c r="C3" s="33" t="s">
        <v>534</v>
      </c>
      <c r="D3" s="33" t="s">
        <v>535</v>
      </c>
      <c r="E3" s="33"/>
    </row>
    <row r="4" customFormat="false" ht="15" hidden="false" customHeight="true" outlineLevel="0" collapsed="false">
      <c r="A4" s="33" t="n">
        <v>3</v>
      </c>
      <c r="B4" s="33" t="s">
        <v>402</v>
      </c>
      <c r="C4" s="33" t="s">
        <v>534</v>
      </c>
      <c r="D4" s="33" t="s">
        <v>535</v>
      </c>
      <c r="E4" s="33"/>
    </row>
    <row r="5" customFormat="false" ht="15" hidden="false" customHeight="true" outlineLevel="0" collapsed="false">
      <c r="A5" s="33" t="n">
        <v>4</v>
      </c>
      <c r="B5" s="33" t="s">
        <v>537</v>
      </c>
      <c r="C5" s="33" t="s">
        <v>538</v>
      </c>
      <c r="D5" s="33" t="s">
        <v>535</v>
      </c>
      <c r="E5" s="33"/>
    </row>
    <row r="6" customFormat="false" ht="15" hidden="false" customHeight="true" outlineLevel="0" collapsed="false">
      <c r="A6" s="33" t="n">
        <v>5</v>
      </c>
      <c r="B6" s="33" t="s">
        <v>539</v>
      </c>
      <c r="C6" s="33" t="s">
        <v>538</v>
      </c>
      <c r="D6" s="33" t="s">
        <v>535</v>
      </c>
      <c r="E6" s="33"/>
    </row>
    <row r="7" customFormat="false" ht="15" hidden="false" customHeight="true" outlineLevel="0" collapsed="false">
      <c r="A7" s="33" t="n">
        <v>6</v>
      </c>
      <c r="B7" s="33" t="s">
        <v>540</v>
      </c>
      <c r="C7" s="33" t="s">
        <v>538</v>
      </c>
      <c r="D7" s="33" t="s">
        <v>541</v>
      </c>
      <c r="E7" s="33" t="s">
        <v>542</v>
      </c>
    </row>
    <row r="8" customFormat="false" ht="15" hidden="false" customHeight="true" outlineLevel="0" collapsed="false">
      <c r="A8" s="33" t="n">
        <v>7</v>
      </c>
      <c r="B8" s="33" t="s">
        <v>543</v>
      </c>
      <c r="C8" s="33" t="s">
        <v>538</v>
      </c>
      <c r="D8" s="33" t="s">
        <v>541</v>
      </c>
      <c r="E8" s="33" t="s">
        <v>542</v>
      </c>
    </row>
    <row r="9" customFormat="false" ht="15" hidden="false" customHeight="true" outlineLevel="0" collapsed="false">
      <c r="A9" s="33" t="n">
        <v>8</v>
      </c>
      <c r="B9" s="33" t="s">
        <v>544</v>
      </c>
      <c r="C9" s="33" t="s">
        <v>538</v>
      </c>
      <c r="D9" s="33" t="s">
        <v>541</v>
      </c>
      <c r="E9" s="33" t="s">
        <v>542</v>
      </c>
    </row>
    <row r="10" customFormat="false" ht="15" hidden="false" customHeight="true" outlineLevel="0" collapsed="false">
      <c r="A10" s="33" t="n">
        <v>9</v>
      </c>
      <c r="B10" s="33" t="s">
        <v>545</v>
      </c>
      <c r="C10" s="33" t="s">
        <v>538</v>
      </c>
      <c r="D10" s="33" t="s">
        <v>541</v>
      </c>
      <c r="E10" s="33" t="s">
        <v>542</v>
      </c>
    </row>
    <row r="11" customFormat="false" ht="15" hidden="false" customHeight="true" outlineLevel="0" collapsed="false">
      <c r="A11" s="33" t="n">
        <v>10</v>
      </c>
      <c r="B11" s="33" t="s">
        <v>546</v>
      </c>
      <c r="C11" s="33" t="s">
        <v>538</v>
      </c>
      <c r="D11" s="33" t="s">
        <v>535</v>
      </c>
      <c r="E11" s="33"/>
    </row>
    <row r="12" customFormat="false" ht="15" hidden="false" customHeight="true" outlineLevel="0" collapsed="false">
      <c r="A12" s="33" t="n">
        <v>11</v>
      </c>
      <c r="B12" s="33" t="s">
        <v>547</v>
      </c>
      <c r="C12" s="33" t="s">
        <v>548</v>
      </c>
      <c r="D12" s="33" t="s">
        <v>535</v>
      </c>
      <c r="E12" s="33"/>
    </row>
    <row r="13" customFormat="false" ht="15" hidden="false" customHeight="true" outlineLevel="0" collapsed="false">
      <c r="A13" s="33" t="n">
        <v>12</v>
      </c>
      <c r="B13" s="33" t="s">
        <v>549</v>
      </c>
      <c r="C13" s="33" t="s">
        <v>548</v>
      </c>
      <c r="D13" s="33" t="s">
        <v>535</v>
      </c>
      <c r="E13" s="33"/>
    </row>
    <row r="14" customFormat="false" ht="15" hidden="false" customHeight="true" outlineLevel="0" collapsed="false">
      <c r="A14" s="33" t="n">
        <v>13</v>
      </c>
      <c r="B14" s="33" t="s">
        <v>550</v>
      </c>
      <c r="C14" s="33" t="s">
        <v>548</v>
      </c>
      <c r="D14" s="33" t="s">
        <v>535</v>
      </c>
      <c r="E14" s="33"/>
    </row>
    <row r="15" customFormat="false" ht="15" hidden="false" customHeight="true" outlineLevel="0" collapsed="false">
      <c r="A15" s="33" t="n">
        <v>14</v>
      </c>
      <c r="B15" s="33" t="s">
        <v>551</v>
      </c>
      <c r="C15" s="33" t="s">
        <v>548</v>
      </c>
      <c r="D15" s="33" t="s">
        <v>535</v>
      </c>
      <c r="E15" s="33"/>
    </row>
    <row r="16" customFormat="false" ht="15" hidden="false" customHeight="true" outlineLevel="0" collapsed="false">
      <c r="A16" s="33" t="n">
        <v>15</v>
      </c>
      <c r="B16" s="33" t="s">
        <v>427</v>
      </c>
      <c r="C16" s="33" t="s">
        <v>552</v>
      </c>
      <c r="D16" s="33" t="s">
        <v>535</v>
      </c>
      <c r="E16" s="33" t="s">
        <v>522</v>
      </c>
    </row>
    <row r="17" customFormat="false" ht="15" hidden="false" customHeight="true" outlineLevel="0" collapsed="false">
      <c r="A17" s="33" t="n">
        <v>16</v>
      </c>
      <c r="B17" s="33" t="s">
        <v>414</v>
      </c>
      <c r="C17" s="33" t="s">
        <v>552</v>
      </c>
      <c r="D17" s="33" t="s">
        <v>535</v>
      </c>
      <c r="E17" s="33" t="s">
        <v>553</v>
      </c>
    </row>
    <row r="18" customFormat="false" ht="15" hidden="false" customHeight="true" outlineLevel="0" collapsed="false">
      <c r="A18" s="33" t="n">
        <v>17</v>
      </c>
      <c r="B18" s="33" t="s">
        <v>410</v>
      </c>
      <c r="C18" s="33" t="s">
        <v>552</v>
      </c>
      <c r="D18" s="33" t="s">
        <v>535</v>
      </c>
      <c r="E18" s="33" t="s">
        <v>512</v>
      </c>
    </row>
    <row r="19" customFormat="false" ht="15" hidden="false" customHeight="true" outlineLevel="0" collapsed="false">
      <c r="A19" s="33" t="n">
        <v>18</v>
      </c>
      <c r="B19" s="33" t="s">
        <v>554</v>
      </c>
      <c r="C19" s="33" t="s">
        <v>552</v>
      </c>
      <c r="D19" s="33" t="s">
        <v>535</v>
      </c>
      <c r="E19" s="33" t="s">
        <v>507</v>
      </c>
    </row>
    <row r="20" customFormat="false" ht="15" hidden="false" customHeight="true" outlineLevel="0" collapsed="false">
      <c r="A20" s="33" t="n">
        <v>19</v>
      </c>
      <c r="B20" s="33" t="s">
        <v>555</v>
      </c>
      <c r="C20" s="33" t="s">
        <v>552</v>
      </c>
      <c r="D20" s="33" t="s">
        <v>535</v>
      </c>
      <c r="E20" s="33" t="s">
        <v>507</v>
      </c>
    </row>
    <row r="21" customFormat="false" ht="15" hidden="false" customHeight="true" outlineLevel="0" collapsed="false">
      <c r="A21" s="33" t="n">
        <v>20</v>
      </c>
      <c r="B21" s="33" t="s">
        <v>556</v>
      </c>
      <c r="C21" s="33" t="s">
        <v>557</v>
      </c>
      <c r="D21" s="33" t="s">
        <v>535</v>
      </c>
      <c r="E21" s="33"/>
    </row>
    <row r="22" customFormat="false" ht="15" hidden="false" customHeight="true" outlineLevel="0" collapsed="false">
      <c r="A22" s="33" t="n">
        <v>21</v>
      </c>
      <c r="B22" s="33" t="s">
        <v>385</v>
      </c>
      <c r="C22" s="33" t="s">
        <v>558</v>
      </c>
      <c r="D22" s="33" t="s">
        <v>535</v>
      </c>
      <c r="E22" s="33" t="s">
        <v>503</v>
      </c>
    </row>
    <row r="23" customFormat="false" ht="15" hidden="false" customHeight="true" outlineLevel="0" collapsed="false">
      <c r="A23" s="33" t="n">
        <v>22</v>
      </c>
      <c r="B23" s="33" t="s">
        <v>394</v>
      </c>
      <c r="C23" s="33" t="s">
        <v>558</v>
      </c>
      <c r="D23" s="33" t="s">
        <v>535</v>
      </c>
      <c r="E23" s="33" t="s">
        <v>505</v>
      </c>
    </row>
    <row r="24" customFormat="false" ht="15" hidden="false" customHeight="true" outlineLevel="0" collapsed="false">
      <c r="A24" s="33" t="n">
        <v>23</v>
      </c>
      <c r="B24" s="33" t="s">
        <v>424</v>
      </c>
      <c r="C24" s="33" t="s">
        <v>558</v>
      </c>
      <c r="D24" s="33" t="s">
        <v>535</v>
      </c>
      <c r="E24" s="33" t="s">
        <v>559</v>
      </c>
    </row>
    <row r="25" customFormat="false" ht="15" hidden="false" customHeight="true" outlineLevel="0" collapsed="false">
      <c r="A25" s="33" t="n">
        <v>24</v>
      </c>
      <c r="B25" s="33" t="s">
        <v>560</v>
      </c>
      <c r="C25" s="33" t="s">
        <v>558</v>
      </c>
      <c r="D25" s="33" t="s">
        <v>535</v>
      </c>
      <c r="E25" s="33"/>
    </row>
    <row r="26" customFormat="false" ht="15" hidden="false" customHeight="true" outlineLevel="0" collapsed="false">
      <c r="A26" s="33" t="n">
        <v>25</v>
      </c>
      <c r="B26" s="33" t="s">
        <v>561</v>
      </c>
      <c r="C26" s="33" t="s">
        <v>558</v>
      </c>
      <c r="D26" s="33" t="s">
        <v>535</v>
      </c>
      <c r="E26" s="33"/>
    </row>
    <row r="27" customFormat="false" ht="15" hidden="false" customHeight="true" outlineLevel="0" collapsed="false">
      <c r="A27" s="33" t="n">
        <v>26</v>
      </c>
      <c r="B27" s="33" t="s">
        <v>562</v>
      </c>
      <c r="C27" s="33" t="s">
        <v>558</v>
      </c>
      <c r="D27" s="33" t="s">
        <v>535</v>
      </c>
      <c r="E27" s="33"/>
    </row>
    <row r="28" customFormat="false" ht="15" hidden="false" customHeight="true" outlineLevel="0" collapsed="false">
      <c r="A28" s="33" t="n">
        <v>27</v>
      </c>
      <c r="B28" s="33" t="s">
        <v>563</v>
      </c>
      <c r="C28" s="33" t="s">
        <v>558</v>
      </c>
      <c r="D28" s="33" t="s">
        <v>535</v>
      </c>
      <c r="E28" s="33"/>
    </row>
    <row r="29" customFormat="false" ht="15" hidden="false" customHeight="true" outlineLevel="0" collapsed="false">
      <c r="A29" s="33" t="n">
        <v>28</v>
      </c>
      <c r="B29" s="33" t="s">
        <v>564</v>
      </c>
      <c r="C29" s="33" t="s">
        <v>558</v>
      </c>
      <c r="D29" s="33" t="s">
        <v>535</v>
      </c>
      <c r="E29" s="33"/>
    </row>
    <row r="30" customFormat="false" ht="15" hidden="false" customHeight="true" outlineLevel="0" collapsed="false">
      <c r="A30" s="33" t="n">
        <v>29</v>
      </c>
      <c r="B30" s="33" t="s">
        <v>565</v>
      </c>
      <c r="C30" s="33" t="s">
        <v>558</v>
      </c>
      <c r="D30" s="33" t="s">
        <v>535</v>
      </c>
      <c r="E30" s="33"/>
    </row>
    <row r="31" customFormat="false" ht="15" hidden="false" customHeight="true" outlineLevel="0" collapsed="false">
      <c r="A31" s="33" t="n">
        <v>30</v>
      </c>
      <c r="B31" s="33" t="s">
        <v>566</v>
      </c>
      <c r="C31" s="33" t="s">
        <v>558</v>
      </c>
      <c r="D31" s="33" t="s">
        <v>535</v>
      </c>
      <c r="E31" s="33"/>
    </row>
    <row r="32" customFormat="false" ht="15" hidden="false" customHeight="true" outlineLevel="0" collapsed="false">
      <c r="A32" s="33" t="n">
        <v>31</v>
      </c>
      <c r="B32" s="33" t="s">
        <v>567</v>
      </c>
      <c r="C32" s="33" t="s">
        <v>558</v>
      </c>
      <c r="D32" s="33" t="s">
        <v>535</v>
      </c>
      <c r="E32" s="33"/>
    </row>
    <row r="33" customFormat="false" ht="15" hidden="false" customHeight="true" outlineLevel="0" collapsed="false">
      <c r="A33" s="33" t="n">
        <v>32</v>
      </c>
      <c r="B33" s="33" t="s">
        <v>568</v>
      </c>
      <c r="C33" s="33" t="s">
        <v>558</v>
      </c>
      <c r="D33" s="33" t="s">
        <v>535</v>
      </c>
      <c r="E33" s="33"/>
    </row>
    <row r="34" customFormat="false" ht="15" hidden="false" customHeight="true" outlineLevel="0" collapsed="false">
      <c r="A34" s="33" t="n">
        <v>33</v>
      </c>
      <c r="B34" s="33" t="s">
        <v>569</v>
      </c>
      <c r="C34" s="33" t="s">
        <v>558</v>
      </c>
      <c r="D34" s="33" t="s">
        <v>535</v>
      </c>
      <c r="E34" s="33"/>
    </row>
    <row r="35" customFormat="false" ht="15" hidden="false" customHeight="true" outlineLevel="0" collapsed="false">
      <c r="A35" s="33" t="n">
        <v>34</v>
      </c>
      <c r="B35" s="33" t="s">
        <v>570</v>
      </c>
      <c r="C35" s="33" t="s">
        <v>558</v>
      </c>
      <c r="D35" s="33" t="s">
        <v>535</v>
      </c>
      <c r="E35" s="33"/>
    </row>
    <row r="37" customFormat="false" ht="15" hidden="false" customHeight="true" outlineLevel="0" collapsed="false">
      <c r="B37" s="28" t="s">
        <v>527</v>
      </c>
      <c r="C37" s="28" t="n">
        <f aca="false">COUNTA(B2:B35)</f>
        <v>34</v>
      </c>
    </row>
    <row r="38" customFormat="false" ht="15" hidden="false" customHeight="true" outlineLevel="0" collapsed="false">
      <c r="B38" s="1" t="s">
        <v>535</v>
      </c>
      <c r="C38" s="1" t="n">
        <f aca="false">COUNTIF(D2:D35,"Shaded")</f>
        <v>30</v>
      </c>
    </row>
    <row r="39" customFormat="false" ht="15" hidden="false" customHeight="true" outlineLevel="0" collapsed="false">
      <c r="B39" s="1" t="s">
        <v>541</v>
      </c>
      <c r="C39" s="1" t="n">
        <f aca="false">COUNTIF(D2:D35,"Dot")</f>
        <v>4</v>
      </c>
    </row>
    <row r="41" customFormat="false" ht="15" hidden="false" customHeight="true" outlineLevel="0" collapsed="false">
      <c r="A41" s="31" t="s">
        <v>571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6" activeCellId="0" sqref="B26"/>
    </sheetView>
  </sheetViews>
  <sheetFormatPr defaultColWidth="8.6328125" defaultRowHeight="14.2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70"/>
    <col collapsed="false" customWidth="true" hidden="false" outlineLevel="0" max="4" min="4" style="1" width="12"/>
    <col collapsed="false" customWidth="true" hidden="false" outlineLevel="0" max="5" min="5" style="1" width="14"/>
  </cols>
  <sheetData>
    <row r="1" customFormat="false" ht="14.25" hidden="false" customHeight="true" outlineLevel="0" collapsed="false">
      <c r="A1" s="27" t="s">
        <v>572</v>
      </c>
      <c r="B1" s="27" t="s">
        <v>573</v>
      </c>
      <c r="C1" s="27" t="s">
        <v>574</v>
      </c>
      <c r="D1" s="27" t="s">
        <v>575</v>
      </c>
      <c r="E1" s="27" t="s">
        <v>46</v>
      </c>
    </row>
    <row r="2" customFormat="false" ht="24.75" hidden="false" customHeight="true" outlineLevel="0" collapsed="false">
      <c r="A2" s="17" t="s">
        <v>576</v>
      </c>
      <c r="B2" s="16" t="s">
        <v>577</v>
      </c>
      <c r="C2" s="17" t="s">
        <v>578</v>
      </c>
      <c r="D2" s="21" t="s">
        <v>60</v>
      </c>
      <c r="E2" s="17" t="s">
        <v>579</v>
      </c>
    </row>
    <row r="3" customFormat="false" ht="14.25" hidden="false" customHeight="true" outlineLevel="0" collapsed="false">
      <c r="A3" s="17" t="s">
        <v>576</v>
      </c>
      <c r="B3" s="16" t="s">
        <v>580</v>
      </c>
      <c r="C3" s="17" t="s">
        <v>581</v>
      </c>
      <c r="D3" s="21" t="s">
        <v>60</v>
      </c>
      <c r="E3" s="17" t="s">
        <v>579</v>
      </c>
    </row>
    <row r="4" customFormat="false" ht="24.75" hidden="false" customHeight="true" outlineLevel="0" collapsed="false">
      <c r="A4" s="17" t="s">
        <v>576</v>
      </c>
      <c r="B4" s="16" t="s">
        <v>582</v>
      </c>
      <c r="C4" s="17" t="s">
        <v>583</v>
      </c>
      <c r="D4" s="21" t="s">
        <v>60</v>
      </c>
      <c r="E4" s="17" t="s">
        <v>579</v>
      </c>
    </row>
    <row r="5" customFormat="false" ht="14.25" hidden="false" customHeight="true" outlineLevel="0" collapsed="false">
      <c r="A5" s="17" t="s">
        <v>576</v>
      </c>
      <c r="B5" s="16" t="s">
        <v>584</v>
      </c>
      <c r="C5" s="17" t="s">
        <v>585</v>
      </c>
      <c r="D5" s="21" t="s">
        <v>60</v>
      </c>
      <c r="E5" s="17" t="s">
        <v>579</v>
      </c>
    </row>
    <row r="6" customFormat="false" ht="14.25" hidden="false" customHeight="true" outlineLevel="0" collapsed="false">
      <c r="A6" s="17" t="s">
        <v>576</v>
      </c>
      <c r="B6" s="16" t="s">
        <v>586</v>
      </c>
      <c r="C6" s="17" t="s">
        <v>587</v>
      </c>
      <c r="D6" s="21" t="s">
        <v>60</v>
      </c>
      <c r="E6" s="17" t="s">
        <v>579</v>
      </c>
    </row>
    <row r="7" customFormat="false" ht="14.25" hidden="false" customHeight="true" outlineLevel="0" collapsed="false">
      <c r="A7" s="17" t="s">
        <v>588</v>
      </c>
      <c r="B7" s="16" t="s">
        <v>589</v>
      </c>
      <c r="C7" s="17" t="s">
        <v>590</v>
      </c>
      <c r="D7" s="21" t="s">
        <v>60</v>
      </c>
      <c r="E7" s="17" t="s">
        <v>65</v>
      </c>
    </row>
    <row r="8" customFormat="false" ht="14.25" hidden="false" customHeight="true" outlineLevel="0" collapsed="false">
      <c r="A8" s="17" t="s">
        <v>588</v>
      </c>
      <c r="B8" s="16" t="s">
        <v>591</v>
      </c>
      <c r="C8" s="17" t="s">
        <v>592</v>
      </c>
      <c r="D8" s="21" t="s">
        <v>60</v>
      </c>
      <c r="E8" s="17" t="s">
        <v>65</v>
      </c>
    </row>
    <row r="9" customFormat="false" ht="14.25" hidden="false" customHeight="true" outlineLevel="0" collapsed="false">
      <c r="A9" s="17" t="s">
        <v>588</v>
      </c>
      <c r="B9" s="16" t="s">
        <v>593</v>
      </c>
      <c r="C9" s="17" t="s">
        <v>594</v>
      </c>
      <c r="D9" s="21" t="s">
        <v>60</v>
      </c>
      <c r="E9" s="17" t="s">
        <v>579</v>
      </c>
    </row>
    <row r="10" customFormat="false" ht="24.75" hidden="false" customHeight="true" outlineLevel="0" collapsed="false">
      <c r="A10" s="17" t="s">
        <v>261</v>
      </c>
      <c r="B10" s="16" t="s">
        <v>595</v>
      </c>
      <c r="C10" s="17" t="s">
        <v>596</v>
      </c>
      <c r="D10" s="21" t="s">
        <v>60</v>
      </c>
      <c r="E10" s="17" t="s">
        <v>579</v>
      </c>
    </row>
    <row r="11" customFormat="false" ht="14.25" hidden="false" customHeight="true" outlineLevel="0" collapsed="false">
      <c r="A11" s="17" t="s">
        <v>597</v>
      </c>
      <c r="B11" s="16" t="s">
        <v>598</v>
      </c>
      <c r="C11" s="17"/>
      <c r="D11" s="21" t="s">
        <v>60</v>
      </c>
      <c r="E11" s="17" t="s">
        <v>579</v>
      </c>
    </row>
    <row r="12" customFormat="false" ht="14.25" hidden="false" customHeight="true" outlineLevel="0" collapsed="false">
      <c r="A12" s="17" t="s">
        <v>597</v>
      </c>
      <c r="B12" s="16" t="s">
        <v>599</v>
      </c>
      <c r="C12" s="17" t="s">
        <v>600</v>
      </c>
      <c r="D12" s="21" t="s">
        <v>60</v>
      </c>
      <c r="E12" s="17" t="s">
        <v>579</v>
      </c>
    </row>
    <row r="13" customFormat="false" ht="14.25" hidden="false" customHeight="true" outlineLevel="0" collapsed="false">
      <c r="A13" s="17" t="s">
        <v>597</v>
      </c>
      <c r="B13" s="16" t="s">
        <v>601</v>
      </c>
      <c r="C13" s="17" t="s">
        <v>602</v>
      </c>
      <c r="D13" s="21" t="s">
        <v>60</v>
      </c>
      <c r="E13" s="17" t="s">
        <v>579</v>
      </c>
    </row>
    <row r="14" customFormat="false" ht="14.25" hidden="false" customHeight="true" outlineLevel="0" collapsed="false">
      <c r="A14" s="17" t="s">
        <v>597</v>
      </c>
      <c r="B14" s="16" t="s">
        <v>603</v>
      </c>
      <c r="C14" s="17" t="s">
        <v>604</v>
      </c>
      <c r="D14" s="21" t="s">
        <v>60</v>
      </c>
      <c r="E14" s="17" t="s">
        <v>579</v>
      </c>
    </row>
    <row r="15" customFormat="false" ht="24.75" hidden="false" customHeight="true" outlineLevel="0" collapsed="false">
      <c r="A15" s="17" t="s">
        <v>605</v>
      </c>
      <c r="B15" s="16" t="s">
        <v>605</v>
      </c>
      <c r="C15" s="17" t="s">
        <v>606</v>
      </c>
      <c r="D15" s="21" t="s">
        <v>60</v>
      </c>
      <c r="E15" s="17" t="s">
        <v>579</v>
      </c>
    </row>
    <row r="16" customFormat="false" ht="24.75" hidden="false" customHeight="true" outlineLevel="0" collapsed="false">
      <c r="A16" s="17" t="s">
        <v>607</v>
      </c>
      <c r="B16" s="16" t="s">
        <v>607</v>
      </c>
      <c r="C16" s="17" t="s">
        <v>608</v>
      </c>
      <c r="D16" s="21" t="s">
        <v>60</v>
      </c>
      <c r="E16" s="17" t="s">
        <v>65</v>
      </c>
    </row>
    <row r="17" customFormat="false" ht="37.5" hidden="false" customHeight="true" outlineLevel="0" collapsed="false">
      <c r="A17" s="17" t="s">
        <v>609</v>
      </c>
      <c r="B17" s="16" t="s">
        <v>610</v>
      </c>
      <c r="C17" s="17" t="s">
        <v>611</v>
      </c>
      <c r="D17" s="21" t="s">
        <v>60</v>
      </c>
      <c r="E17" s="17" t="s">
        <v>65</v>
      </c>
    </row>
    <row r="18" customFormat="false" ht="24.75" hidden="false" customHeight="true" outlineLevel="0" collapsed="false">
      <c r="A18" s="17" t="s">
        <v>609</v>
      </c>
      <c r="B18" s="16" t="s">
        <v>612</v>
      </c>
      <c r="C18" s="17" t="s">
        <v>613</v>
      </c>
      <c r="D18" s="21" t="s">
        <v>60</v>
      </c>
      <c r="E18" s="17" t="s">
        <v>65</v>
      </c>
    </row>
    <row r="19" customFormat="false" ht="14.25" hidden="false" customHeight="true" outlineLevel="0" collapsed="false">
      <c r="A19" s="17" t="s">
        <v>609</v>
      </c>
      <c r="B19" s="16" t="s">
        <v>614</v>
      </c>
      <c r="C19" s="17" t="s">
        <v>615</v>
      </c>
      <c r="D19" s="21" t="s">
        <v>60</v>
      </c>
      <c r="E19" s="17" t="s">
        <v>65</v>
      </c>
    </row>
    <row r="20" customFormat="false" ht="24.75" hidden="false" customHeight="true" outlineLevel="0" collapsed="false">
      <c r="A20" s="17" t="s">
        <v>609</v>
      </c>
      <c r="B20" s="16" t="s">
        <v>616</v>
      </c>
      <c r="C20" s="17" t="s">
        <v>617</v>
      </c>
      <c r="D20" s="21" t="s">
        <v>60</v>
      </c>
      <c r="E20" s="17" t="s">
        <v>296</v>
      </c>
    </row>
    <row r="21" customFormat="false" ht="24.75" hidden="false" customHeight="true" outlineLevel="0" collapsed="false">
      <c r="A21" s="17" t="s">
        <v>618</v>
      </c>
      <c r="B21" s="16" t="s">
        <v>619</v>
      </c>
      <c r="C21" s="17" t="s">
        <v>620</v>
      </c>
      <c r="D21" s="21" t="s">
        <v>621</v>
      </c>
      <c r="E21" s="17" t="s">
        <v>622</v>
      </c>
    </row>
    <row r="22" customFormat="false" ht="25.5" hidden="false" customHeight="true" outlineLevel="0" collapsed="false">
      <c r="A22" s="17" t="s">
        <v>623</v>
      </c>
      <c r="B22" s="16" t="s">
        <v>624</v>
      </c>
      <c r="C22" s="17" t="s">
        <v>625</v>
      </c>
      <c r="D22" s="21"/>
      <c r="E22" s="17" t="s">
        <v>579</v>
      </c>
    </row>
    <row r="23" customFormat="false" ht="23.25" hidden="false" customHeight="true" outlineLevel="0" collapsed="false">
      <c r="A23" s="17" t="s">
        <v>623</v>
      </c>
      <c r="B23" s="16" t="s">
        <v>626</v>
      </c>
      <c r="C23" s="17" t="s">
        <v>627</v>
      </c>
      <c r="D23" s="21"/>
      <c r="E23" s="17" t="s">
        <v>579</v>
      </c>
    </row>
    <row r="24" customFormat="false" ht="23.25" hidden="false" customHeight="true" outlineLevel="0" collapsed="false">
      <c r="A24" s="17" t="s">
        <v>623</v>
      </c>
      <c r="B24" s="16" t="s">
        <v>628</v>
      </c>
      <c r="C24" s="17" t="s">
        <v>629</v>
      </c>
      <c r="D24" s="21"/>
      <c r="E24" s="17" t="s">
        <v>630</v>
      </c>
    </row>
    <row r="25" customFormat="false" ht="99.75" hidden="false" customHeight="true" outlineLevel="0" collapsed="false">
      <c r="A25" s="17" t="s">
        <v>261</v>
      </c>
      <c r="B25" s="16" t="s">
        <v>631</v>
      </c>
      <c r="C25" s="17" t="s">
        <v>632</v>
      </c>
      <c r="D25" s="21" t="s">
        <v>60</v>
      </c>
      <c r="E25" s="17" t="s">
        <v>630</v>
      </c>
    </row>
    <row r="26" customFormat="false" ht="90.75" hidden="false" customHeight="true" outlineLevel="0" collapsed="false">
      <c r="A26" s="3" t="s">
        <v>633</v>
      </c>
      <c r="B26" s="29" t="s">
        <v>634</v>
      </c>
    </row>
    <row r="28" customFormat="false" ht="14.25" hidden="false" customHeight="true" outlineLevel="0" collapsed="false">
      <c r="A28" s="17" t="s">
        <v>635</v>
      </c>
      <c r="B28" s="16" t="s">
        <v>636</v>
      </c>
      <c r="C28" s="17" t="s">
        <v>637</v>
      </c>
      <c r="D28" s="21" t="s">
        <v>60</v>
      </c>
      <c r="E28" s="17" t="s">
        <v>638</v>
      </c>
    </row>
    <row r="29" customFormat="false" ht="14.25" hidden="false" customHeight="true" outlineLevel="0" collapsed="false">
      <c r="A29" s="17" t="s">
        <v>635</v>
      </c>
      <c r="B29" s="16" t="s">
        <v>639</v>
      </c>
      <c r="C29" s="17" t="s">
        <v>640</v>
      </c>
      <c r="D29" s="21" t="s">
        <v>60</v>
      </c>
      <c r="E29" s="17" t="s">
        <v>638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8.6328125" defaultRowHeight="14.25" zeroHeight="false" outlineLevelRow="0" outlineLevelCol="0"/>
  <cols>
    <col collapsed="false" customWidth="true" hidden="false" outlineLevel="0" max="1" min="1" style="1" width="4"/>
    <col collapsed="false" customWidth="true" hidden="false" outlineLevel="0" max="2" min="2" style="1" width="80"/>
    <col collapsed="false" customWidth="true" hidden="false" outlineLevel="0" max="3" min="3" style="1" width="22"/>
    <col collapsed="false" customWidth="true" hidden="false" outlineLevel="0" max="4" min="4" style="1" width="40"/>
  </cols>
  <sheetData>
    <row r="1" customFormat="false" ht="14.25" hidden="false" customHeight="true" outlineLevel="0" collapsed="false">
      <c r="A1" s="27" t="s">
        <v>531</v>
      </c>
      <c r="B1" s="27" t="s">
        <v>641</v>
      </c>
      <c r="C1" s="27" t="s">
        <v>642</v>
      </c>
      <c r="D1" s="27" t="s">
        <v>630</v>
      </c>
    </row>
    <row r="2" customFormat="false" ht="24.75" hidden="false" customHeight="true" outlineLevel="0" collapsed="false">
      <c r="A2" s="17" t="n">
        <v>1</v>
      </c>
      <c r="B2" s="17" t="s">
        <v>643</v>
      </c>
      <c r="C2" s="17" t="s">
        <v>644</v>
      </c>
      <c r="D2" s="21" t="s">
        <v>60</v>
      </c>
    </row>
    <row r="3" customFormat="false" ht="14.25" hidden="false" customHeight="true" outlineLevel="0" collapsed="false">
      <c r="A3" s="17" t="n">
        <v>2</v>
      </c>
      <c r="B3" s="17" t="s">
        <v>645</v>
      </c>
      <c r="C3" s="17" t="s">
        <v>646</v>
      </c>
      <c r="D3" s="21" t="s">
        <v>647</v>
      </c>
    </row>
    <row r="4" customFormat="false" ht="14.25" hidden="false" customHeight="true" outlineLevel="0" collapsed="false">
      <c r="A4" s="17" t="n">
        <v>3</v>
      </c>
      <c r="B4" s="17" t="s">
        <v>648</v>
      </c>
      <c r="C4" s="17" t="s">
        <v>649</v>
      </c>
      <c r="D4" s="21" t="s">
        <v>650</v>
      </c>
    </row>
    <row r="5" customFormat="false" ht="24.75" hidden="false" customHeight="true" outlineLevel="0" collapsed="false">
      <c r="A5" s="17" t="n">
        <v>4</v>
      </c>
      <c r="B5" s="17" t="s">
        <v>651</v>
      </c>
      <c r="C5" s="17" t="s">
        <v>652</v>
      </c>
      <c r="D5" s="21" t="s">
        <v>653</v>
      </c>
    </row>
    <row r="6" customFormat="false" ht="24.75" hidden="false" customHeight="true" outlineLevel="0" collapsed="false">
      <c r="A6" s="17" t="n">
        <v>5</v>
      </c>
      <c r="B6" s="17" t="s">
        <v>654</v>
      </c>
      <c r="C6" s="17" t="s">
        <v>655</v>
      </c>
      <c r="D6" s="21" t="s">
        <v>656</v>
      </c>
    </row>
    <row r="7" customFormat="false" ht="14.25" hidden="false" customHeight="true" outlineLevel="0" collapsed="false">
      <c r="A7" s="17" t="n">
        <v>6</v>
      </c>
      <c r="B7" s="17" t="s">
        <v>657</v>
      </c>
      <c r="C7" s="17" t="s">
        <v>218</v>
      </c>
      <c r="D7" s="21" t="s">
        <v>658</v>
      </c>
    </row>
    <row r="8" customFormat="false" ht="24.75" hidden="false" customHeight="true" outlineLevel="0" collapsed="false">
      <c r="A8" s="17" t="n">
        <v>7</v>
      </c>
      <c r="B8" s="17" t="s">
        <v>659</v>
      </c>
      <c r="C8" s="17" t="s">
        <v>660</v>
      </c>
      <c r="D8" s="21" t="s">
        <v>661</v>
      </c>
    </row>
    <row r="9" customFormat="false" ht="14.25" hidden="false" customHeight="true" outlineLevel="0" collapsed="false">
      <c r="A9" s="17" t="n">
        <v>8</v>
      </c>
      <c r="B9" s="17" t="s">
        <v>662</v>
      </c>
      <c r="C9" s="17" t="s">
        <v>186</v>
      </c>
      <c r="D9" s="21" t="s">
        <v>663</v>
      </c>
    </row>
    <row r="10" customFormat="false" ht="24.75" hidden="false" customHeight="true" outlineLevel="0" collapsed="false">
      <c r="A10" s="17" t="n">
        <v>9</v>
      </c>
      <c r="B10" s="17" t="s">
        <v>664</v>
      </c>
      <c r="C10" s="17" t="s">
        <v>665</v>
      </c>
      <c r="D10" s="21" t="s">
        <v>666</v>
      </c>
    </row>
    <row r="11" customFormat="false" ht="37.5" hidden="false" customHeight="true" outlineLevel="0" collapsed="false">
      <c r="A11" s="17" t="n">
        <v>10</v>
      </c>
      <c r="B11" s="17" t="s">
        <v>667</v>
      </c>
      <c r="C11" s="17" t="s">
        <v>668</v>
      </c>
      <c r="D11" s="21" t="s">
        <v>669</v>
      </c>
    </row>
    <row r="12" customFormat="false" ht="14.25" hidden="false" customHeight="true" outlineLevel="0" collapsed="false">
      <c r="A12" s="17" t="n">
        <v>11</v>
      </c>
      <c r="B12" s="17" t="s">
        <v>670</v>
      </c>
      <c r="C12" s="17" t="s">
        <v>246</v>
      </c>
      <c r="D12" s="21" t="s">
        <v>671</v>
      </c>
    </row>
    <row r="13" customFormat="false" ht="24.75" hidden="false" customHeight="true" outlineLevel="0" collapsed="false">
      <c r="A13" s="17" t="n">
        <v>12</v>
      </c>
      <c r="B13" s="17" t="s">
        <v>672</v>
      </c>
      <c r="C13" s="17" t="s">
        <v>673</v>
      </c>
      <c r="D13" s="21" t="s">
        <v>674</v>
      </c>
    </row>
    <row r="14" customFormat="false" ht="24.75" hidden="false" customHeight="true" outlineLevel="0" collapsed="false">
      <c r="A14" s="17" t="n">
        <v>13</v>
      </c>
      <c r="B14" s="17" t="s">
        <v>675</v>
      </c>
      <c r="C14" s="17" t="s">
        <v>676</v>
      </c>
      <c r="D14" s="21" t="s">
        <v>677</v>
      </c>
    </row>
    <row r="15" customFormat="false" ht="14.25" hidden="false" customHeight="true" outlineLevel="0" collapsed="false">
      <c r="A15" s="17" t="n">
        <v>14</v>
      </c>
      <c r="B15" s="17" t="s">
        <v>678</v>
      </c>
      <c r="C15" s="17" t="s">
        <v>679</v>
      </c>
      <c r="D15" s="21" t="s">
        <v>680</v>
      </c>
    </row>
    <row r="16" customFormat="false" ht="14.25" hidden="false" customHeight="true" outlineLevel="0" collapsed="false">
      <c r="A16" s="17" t="n">
        <v>15</v>
      </c>
      <c r="B16" s="17" t="s">
        <v>681</v>
      </c>
      <c r="C16" s="17" t="s">
        <v>682</v>
      </c>
      <c r="D16" s="21" t="s">
        <v>683</v>
      </c>
    </row>
    <row r="17" customFormat="false" ht="14.25" hidden="false" customHeight="true" outlineLevel="0" collapsed="false">
      <c r="A17" s="17" t="n">
        <v>16</v>
      </c>
      <c r="B17" s="17" t="s">
        <v>684</v>
      </c>
      <c r="C17" s="17" t="s">
        <v>35</v>
      </c>
      <c r="D17" s="21" t="s">
        <v>685</v>
      </c>
    </row>
    <row r="18" customFormat="false" ht="14.25" hidden="false" customHeight="true" outlineLevel="0" collapsed="false">
      <c r="A18" s="17" t="n">
        <v>17</v>
      </c>
      <c r="B18" s="17" t="s">
        <v>686</v>
      </c>
      <c r="C18" s="17" t="s">
        <v>35</v>
      </c>
      <c r="D18" s="21" t="s">
        <v>687</v>
      </c>
    </row>
    <row r="19" customFormat="false" ht="24.75" hidden="false" customHeight="true" outlineLevel="0" collapsed="false">
      <c r="A19" s="17" t="n">
        <v>18</v>
      </c>
      <c r="B19" s="17" t="s">
        <v>688</v>
      </c>
      <c r="C19" s="17" t="s">
        <v>689</v>
      </c>
      <c r="D19" s="21" t="s">
        <v>690</v>
      </c>
    </row>
    <row r="20" customFormat="false" ht="23.25" hidden="false" customHeight="true" outlineLevel="0" collapsed="false">
      <c r="A20" s="17" t="n">
        <v>19</v>
      </c>
      <c r="B20" s="17" t="s">
        <v>691</v>
      </c>
      <c r="C20" s="17" t="s">
        <v>649</v>
      </c>
      <c r="D20" s="21" t="s">
        <v>692</v>
      </c>
    </row>
    <row r="21" customFormat="false" ht="23.25" hidden="false" customHeight="true" outlineLevel="0" collapsed="false">
      <c r="A21" s="17" t="n">
        <v>20</v>
      </c>
      <c r="B21" s="17" t="s">
        <v>693</v>
      </c>
      <c r="C21" s="17" t="s">
        <v>694</v>
      </c>
      <c r="D21" s="21" t="s">
        <v>695</v>
      </c>
    </row>
    <row r="22" customFormat="false" ht="14.25" hidden="false" customHeight="true" outlineLevel="0" collapsed="false">
      <c r="A22" s="17" t="n">
        <v>21</v>
      </c>
      <c r="B22" s="17" t="s">
        <v>696</v>
      </c>
      <c r="C22" s="17" t="s">
        <v>697</v>
      </c>
      <c r="D22" s="21" t="s">
        <v>698</v>
      </c>
    </row>
    <row r="23" customFormat="false" ht="14.25" hidden="false" customHeight="true" outlineLevel="0" collapsed="false">
      <c r="A23" s="17" t="n">
        <v>22</v>
      </c>
      <c r="B23" s="17" t="s">
        <v>699</v>
      </c>
      <c r="C23" s="17" t="s">
        <v>700</v>
      </c>
      <c r="D23" s="21"/>
    </row>
    <row r="24" customFormat="false" ht="14.25" hidden="false" customHeight="true" outlineLevel="0" collapsed="false">
      <c r="A24" s="17" t="n">
        <v>23</v>
      </c>
      <c r="B24" s="17" t="s">
        <v>701</v>
      </c>
      <c r="C24" s="17" t="s">
        <v>35</v>
      </c>
      <c r="D24" s="21"/>
    </row>
    <row r="25" customFormat="false" ht="14.25" hidden="false" customHeight="true" outlineLevel="0" collapsed="false">
      <c r="A25" s="17" t="n">
        <v>24</v>
      </c>
      <c r="B25" s="17" t="s">
        <v>702</v>
      </c>
      <c r="C25" s="17" t="s">
        <v>35</v>
      </c>
      <c r="D25" s="21" t="s">
        <v>703</v>
      </c>
    </row>
    <row r="26" customFormat="false" ht="14.25" hidden="false" customHeight="true" outlineLevel="0" collapsed="false">
      <c r="A26" s="17" t="n">
        <v>25</v>
      </c>
      <c r="B26" s="17" t="s">
        <v>704</v>
      </c>
      <c r="C26" s="17" t="s">
        <v>705</v>
      </c>
      <c r="D26" s="21"/>
    </row>
    <row r="27" customFormat="false" ht="14.25" hidden="false" customHeight="true" outlineLevel="0" collapsed="false">
      <c r="A27" s="17" t="n">
        <v>26</v>
      </c>
      <c r="B27" s="17" t="s">
        <v>706</v>
      </c>
      <c r="C27" s="17" t="s">
        <v>707</v>
      </c>
      <c r="D27" s="21" t="s">
        <v>708</v>
      </c>
    </row>
    <row r="28" customFormat="false" ht="14.25" hidden="false" customHeight="true" outlineLevel="0" collapsed="false">
      <c r="A28" s="17" t="n">
        <v>27</v>
      </c>
      <c r="B28" s="17" t="s">
        <v>709</v>
      </c>
      <c r="C28" s="17" t="s">
        <v>710</v>
      </c>
      <c r="D28" s="21"/>
    </row>
    <row r="29" customFormat="false" ht="14.25" hidden="false" customHeight="true" outlineLevel="0" collapsed="false">
      <c r="A29" s="17" t="n">
        <v>28</v>
      </c>
      <c r="B29" s="17" t="s">
        <v>711</v>
      </c>
      <c r="C29" s="17" t="s">
        <v>712</v>
      </c>
      <c r="D29" s="21"/>
    </row>
    <row r="30" customFormat="false" ht="14.25" hidden="false" customHeight="true" outlineLevel="0" collapsed="false">
      <c r="A30" s="17" t="n">
        <v>29</v>
      </c>
      <c r="B30" s="17" t="s">
        <v>713</v>
      </c>
      <c r="C30" s="17" t="s">
        <v>714</v>
      </c>
      <c r="D30" s="21"/>
    </row>
    <row r="31" customFormat="false" ht="14.25" hidden="false" customHeight="true" outlineLevel="0" collapsed="false">
      <c r="A31" s="17" t="n">
        <v>30</v>
      </c>
      <c r="B31" s="17" t="s">
        <v>715</v>
      </c>
      <c r="C31" s="17" t="s">
        <v>716</v>
      </c>
      <c r="D31" s="21"/>
    </row>
    <row r="32" customFormat="false" ht="14.25" hidden="false" customHeight="true" outlineLevel="0" collapsed="false">
      <c r="A32" s="17" t="n">
        <v>31</v>
      </c>
      <c r="B32" s="17" t="s">
        <v>717</v>
      </c>
      <c r="C32" s="17" t="s">
        <v>718</v>
      </c>
      <c r="D32" s="21"/>
    </row>
    <row r="33" customFormat="false" ht="14.25" hidden="false" customHeight="true" outlineLevel="0" collapsed="false">
      <c r="A33" s="17" t="n">
        <v>32</v>
      </c>
      <c r="B33" s="17" t="s">
        <v>719</v>
      </c>
      <c r="C33" s="17" t="s">
        <v>720</v>
      </c>
      <c r="D33" s="21"/>
    </row>
    <row r="34" customFormat="false" ht="14.25" hidden="false" customHeight="true" outlineLevel="0" collapsed="false">
      <c r="A34" s="17" t="n">
        <v>33</v>
      </c>
      <c r="B34" s="17" t="s">
        <v>721</v>
      </c>
      <c r="C34" s="17" t="s">
        <v>722</v>
      </c>
      <c r="D34" s="21"/>
    </row>
    <row r="35" customFormat="false" ht="14.25" hidden="false" customHeight="true" outlineLevel="0" collapsed="false">
      <c r="A35" s="17" t="n">
        <v>34</v>
      </c>
      <c r="B35" s="17" t="s">
        <v>723</v>
      </c>
      <c r="C35" s="17" t="s">
        <v>724</v>
      </c>
      <c r="D35" s="21" t="s">
        <v>725</v>
      </c>
    </row>
    <row r="36" customFormat="false" ht="14.25" hidden="false" customHeight="true" outlineLevel="0" collapsed="false">
      <c r="A36" s="17" t="n">
        <v>35</v>
      </c>
      <c r="B36" s="17" t="s">
        <v>726</v>
      </c>
      <c r="C36" s="17" t="s">
        <v>727</v>
      </c>
      <c r="D36" s="21" t="s">
        <v>728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2026-10-07T03:03:59Z</dcterms:created>
  <dc:creator>openpyxl</dc:creator>
  <dc:description/>
  <dc:language>en-US</dc:language>
  <cp:lastModifiedBy>Grant Sacco</cp:lastModifiedBy>
  <dcterms:modified xsi:type="dcterms:W3CDTF">2026-10-14T16:21:14Z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