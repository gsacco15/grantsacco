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Read me" sheetId="1" state="visible" r:id="rId3"/>
    <sheet name="Artifacts" sheetId="2" state="visible" r:id="rId4"/>
    <sheet name="Section summary" sheetId="3" state="visible" r:id="rId5"/>
    <sheet name="Places" sheetId="4" state="visible" r:id="rId6"/>
    <sheet name="Films" sheetId="5" state="visible" r:id="rId7"/>
    <sheet name="Countries" sheetId="6" state="visible" r:id="rId8"/>
    <sheet name="Profile" sheetId="7" state="visible" r:id="rId9"/>
    <sheet name="Open questions" sheetId="8" state="visible" r:id="rId10"/>
  </sheets>
  <definedNames>
    <definedName function="false" hidden="true" localSheetId="1" name="_xlnm._FilterDatabase" vbProcedure="false">Artifacts!$A$1:$W$65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L1" authorId="0">
      <text>
        <r>
          <rPr>
            <sz val="10"/>
            <rFont val="Arial"/>
            <family val="2"/>
          </rPr>
          <t xml:space="preserve">● = main section for this artifact
○ = also appears here (a crossover)</t>
        </r>
      </text>
    </comment>
    <comment ref="R1" authorId="0">
      <text>
        <r>
          <rPr>
            <sz val="10"/>
            <rFont val="Arial"/>
            <family val="2"/>
          </rPr>
          <t xml:space="preserve">Yes = on stage in its main section
Maybe = undecided
Archive = in the "+ more" list only
No = leave off the site</t>
        </r>
      </text>
    </comment>
  </commentList>
</comments>
</file>

<file path=xl/sharedStrings.xml><?xml version="1.0" encoding="utf-8"?>
<sst xmlns="http://schemas.openxmlformats.org/spreadsheetml/2006/main" count="1551" uniqueCount="719">
  <si>
    <t xml:space="preserve">Site artifacts: mapping workbook</t>
  </si>
  <si>
    <t xml:space="preserve">Everything compiled so far, for deciding what goes in each section. Nothing here is on the site yet.</t>
  </si>
  <si>
    <t xml:space="preserve">Direction (the most important thing)</t>
  </si>
  <si>
    <t xml:space="preserve">This is not a resume on a website. It should feel like: "This is Grant. Here are the things he's built, the places he's been, the problems he's worked on, the photos he's taken, and the weird side projects he makes because he's curious."</t>
  </si>
  <si>
    <t xml:space="preserve">Show, don't tell: the projects, photography, travel, languages, sports, startup and apps prove builder, field-oriented, problem solver, internationally curious and active. Don't add more personality words.</t>
  </si>
  <si>
    <t xml:space="preserve">Keep it uncluttered: personal context supports the work quietly, it never crowds it.</t>
  </si>
  <si>
    <t xml:space="preserve">Latest decisions: one quiet line in About ("Based in Austin · English, Italian, learning Portuguese"), with Jaylee and Helga as one small sprite each sitting on the 2021 ring (not a tile). No languages on the Travel map; no sports on films or trips. The Travel map is small dots (lived, photos, worked; homes you also worked in get the worked square, Wilmette is marked born), lines only for the moves between places lived, the countries visited shaded, and it zooms and pans.</t>
  </si>
  <si>
    <t xml:space="preserve">Sheets</t>
  </si>
  <si>
    <t xml:space="preserve">Artifacts: every project, role, app, build, film and place, with the section mapping.</t>
  </si>
  <si>
    <t xml:space="preserve">Section summary: counts per section (formulas) against a target, so you can see where to trim or add.</t>
  </si>
  <si>
    <t xml:space="preserve">Places: lived vs work sites vs trips, with map coordinates.</t>
  </si>
  <si>
    <t xml:space="preserve">Films: the 35mm albums with photo counts.</t>
  </si>
  <si>
    <t xml:space="preserve">Countries: the 34 countries visited, all on the Travel map.</t>
  </si>
  <si>
    <t xml:space="preserve">Profile: personal context (themes, languages, interests, values), kept apart from resume facts.</t>
  </si>
  <si>
    <t xml:space="preserve">Open questions: what I need from you to finish the map.</t>
  </si>
  <si>
    <t xml:space="preserve">How to edit</t>
  </si>
  <si>
    <t xml:space="preserve">Cream-shaded cells are yours to change: the six section columns, Featured?, To verify, Show on map?, Use on site?, and Your answer.</t>
  </si>
  <si>
    <t xml:space="preserve">Section columns: ● = the artifact's main section, ○ = it also appears there (a crossover). Pick from the dropdown or leave blank.</t>
  </si>
  <si>
    <t xml:space="preserve">Featured?: Yes = on stage in its main section · Maybe = undecided · Archive = only in the "+ more" list · No = leave off.</t>
  </si>
  <si>
    <t xml:space="preserve">Every row in Artifacts is a real example of the format: copy a row to add a new artifact.</t>
  </si>
  <si>
    <t xml:space="preserve">Sections</t>
  </si>
  <si>
    <t xml:space="preserve">About · Engineering · Projects · Art · Travel · Digital (was Apps) (the six tabs in the mocks).</t>
  </si>
  <si>
    <t xml:space="preserve">Sources</t>
  </si>
  <si>
    <t xml:space="preserve">Resume and Portfolio 2025 PDF (10 case studies), your apps table, your Google Photos 35mm albums, and your profile notes in chat. Featured? values are my first suggestions.</t>
  </si>
  <si>
    <t xml:space="preserve">ID</t>
  </si>
  <si>
    <t xml:space="preserve">Artifact</t>
  </si>
  <si>
    <t xml:space="preserve">Type</t>
  </si>
  <si>
    <t xml:space="preserve">Org / context</t>
  </si>
  <si>
    <t xml:space="preserve">Location</t>
  </si>
  <si>
    <t xml:space="preserve">Start</t>
  </si>
  <si>
    <t xml:space="preserve">End</t>
  </si>
  <si>
    <t xml:space="preserve">What it is</t>
  </si>
  <si>
    <t xml:space="preserve">Key facts &amp; numbers</t>
  </si>
  <si>
    <t xml:space="preserve">Tools / tech</t>
  </si>
  <si>
    <t xml:space="preserve">Link</t>
  </si>
  <si>
    <t xml:space="preserve">About</t>
  </si>
  <si>
    <t xml:space="preserve">Engineering</t>
  </si>
  <si>
    <t xml:space="preserve">Projects</t>
  </si>
  <si>
    <t xml:space="preserve">Art</t>
  </si>
  <si>
    <t xml:space="preserve">Travel</t>
  </si>
  <si>
    <t xml:space="preserve">Digital</t>
  </si>
  <si>
    <t xml:space="preserve">Featured?</t>
  </si>
  <si>
    <t xml:space="preserve">Visual form</t>
  </si>
  <si>
    <t xml:space="preserve">3D model?</t>
  </si>
  <si>
    <t xml:space="preserve">Assets we have</t>
  </si>
  <si>
    <t xml:space="preserve">To verify / missing</t>
  </si>
  <si>
    <t xml:space="preserve">Source</t>
  </si>
  <si>
    <t xml:space="preserve">Career &amp; milestones (About timeline)</t>
  </si>
  <si>
    <t xml:space="preserve">R1</t>
  </si>
  <si>
    <t xml:space="preserve">Enovis: Sr. Project Engineer, Advanced Manufacturing Engineering</t>
  </si>
  <si>
    <t xml:space="preserve">Role</t>
  </si>
  <si>
    <t xml:space="preserve">Enovis Corp</t>
  </si>
  <si>
    <t xml:space="preserve">Austin, TX</t>
  </si>
  <si>
    <t xml:space="preserve">2025</t>
  </si>
  <si>
    <t xml:space="preserve">Present</t>
  </si>
  <si>
    <t xml:space="preserve">Owner rep and engineering lead for a new operations facility and additive manufacturing center.</t>
  </si>
  <si>
    <t xml:space="preserve">See E1–E2. Leads a cross-functional engineering group; GCs, architects, specialty vendors.</t>
  </si>
  <si>
    <t xml:space="preserve">Project management, construction management, commissioning</t>
  </si>
  <si>
    <t xml:space="preserve">●</t>
  </si>
  <si>
    <t xml:space="preserve">○</t>
  </si>
  <si>
    <t xml:space="preserve">Yes</t>
  </si>
  <si>
    <t xml:space="preserve">Timeline card</t>
  </si>
  <si>
    <t xml:space="preserve">No</t>
  </si>
  <si>
    <t xml:space="preserve">Enovis logo (in repo)</t>
  </si>
  <si>
    <t xml:space="preserve">What can be shown publicly about Enovis work.</t>
  </si>
  <si>
    <t xml:space="preserve">Resume</t>
  </si>
  <si>
    <t xml:space="preserve">R2</t>
  </si>
  <si>
    <t xml:space="preserve">MAPEI Corp: Project Engineering Manager</t>
  </si>
  <si>
    <t xml:space="preserve">MAPEI Corp</t>
  </si>
  <si>
    <t xml:space="preserve">Dallas, TX</t>
  </si>
  <si>
    <t xml:space="preserve">2021</t>
  </si>
  <si>
    <t xml:space="preserve">2024</t>
  </si>
  <si>
    <t xml:space="preserve">Industrial construction and manufacturing capital projects.</t>
  </si>
  <si>
    <t xml:space="preserve">&gt;$30M of capital projects (mechanical, electrical, process piping, equipment). See E3–E7.</t>
  </si>
  <si>
    <t xml:space="preserve">SolidWorks, AutoCAD, MS Project, P&amp;IDs</t>
  </si>
  <si>
    <t xml:space="preserve">Portfolio pages 4–5; MAPEI logo (in repo)</t>
  </si>
  <si>
    <t xml:space="preserve">Card shows both stints: Chicago 2018–19, Dallas 2021–24.</t>
  </si>
  <si>
    <t xml:space="preserve">R3</t>
  </si>
  <si>
    <t xml:space="preserve">MAPEI SpA: Project Engineer</t>
  </si>
  <si>
    <t xml:space="preserve">MAPEI SpA (HQ)</t>
  </si>
  <si>
    <t xml:space="preserve">Milan, Italy</t>
  </si>
  <si>
    <t xml:space="preserve">2019</t>
  </si>
  <si>
    <t xml:space="preserve">Trained across day-to-day manufacturing operations; capital projects; static mixing R&amp;D.</t>
  </si>
  <si>
    <t xml:space="preserve">Supported design, prototyping and testing of new static mixing technology (became E6).</t>
  </si>
  <si>
    <t xml:space="preserve">Timeline card + Milan on map</t>
  </si>
  <si>
    <t xml:space="preserve">MAPEI logo (in repo)</t>
  </si>
  <si>
    <t xml:space="preserve">Any photos from Milan / the plant?</t>
  </si>
  <si>
    <t xml:space="preserve">R4</t>
  </si>
  <si>
    <t xml:space="preserve">MAPEI Corp: Junior Project Engineer</t>
  </si>
  <si>
    <t xml:space="preserve">Chicago, IL</t>
  </si>
  <si>
    <t xml:space="preserve">2018</t>
  </si>
  <si>
    <t xml:space="preserve">Technical studies and medium-scale capital projects for the Chicago site.</t>
  </si>
  <si>
    <t xml:space="preserve">Process improvement and infrastructure upgrades.</t>
  </si>
  <si>
    <t xml:space="preserve">Shown on the MAPEI Corp card (R2) as its 2018–19 Chicago stint; still marks Chicago as "worked" on the map.</t>
  </si>
  <si>
    <t xml:space="preserve">R5</t>
  </si>
  <si>
    <t xml:space="preserve">AWC Industries: Mechanical Engineering Intern</t>
  </si>
  <si>
    <t xml:space="preserve">AWC Industries</t>
  </si>
  <si>
    <t xml:space="preserve">2016</t>
  </si>
  <si>
    <t xml:space="preserve">Summer internship designing components and assemblies.</t>
  </si>
  <si>
    <t xml:space="preserve">Cut raw-material waste with design-for-manufacture parts; designed replacement parts to prevent downtime.</t>
  </si>
  <si>
    <t xml:space="preserve">SolidWorks</t>
  </si>
  <si>
    <t xml:space="preserve">None</t>
  </si>
  <si>
    <t xml:space="preserve">Removed from the site (your call).</t>
  </si>
  <si>
    <t xml:space="preserve">R6</t>
  </si>
  <si>
    <t xml:space="preserve">B.S. Mechanical Engineering</t>
  </si>
  <si>
    <t xml:space="preserve">Education</t>
  </si>
  <si>
    <t xml:space="preserve">University of Kansas</t>
  </si>
  <si>
    <t xml:space="preserve">Lawrence, KS</t>
  </si>
  <si>
    <t xml:space="preserve">2014</t>
  </si>
  <si>
    <t xml:space="preserve">BSME.</t>
  </si>
  <si>
    <t xml:space="preserve">Formula SAE electric powertrain (U1); biomechanical research (U2); SAE and Society of Biomedical Engineering.</t>
  </si>
  <si>
    <t xml:space="preserve">KU School of Engineering image (used as the KU tile picture); small KU logo (in repo, not shown under the tile)</t>
  </si>
  <si>
    <t xml:space="preserve">R7</t>
  </si>
  <si>
    <t xml:space="preserve">PMP certification</t>
  </si>
  <si>
    <t xml:space="preserve">Certification</t>
  </si>
  <si>
    <t xml:space="preserve">PMI</t>
  </si>
  <si>
    <t xml:space="preserve">Project Management Professional.</t>
  </si>
  <si>
    <t xml:space="preserve">Badge</t>
  </si>
  <si>
    <t xml:space="preserve">Not on the site (this is not a resume).</t>
  </si>
  <si>
    <t xml:space="preserve">R8</t>
  </si>
  <si>
    <t xml:space="preserve">HOA Board Director</t>
  </si>
  <si>
    <t xml:space="preserve">Leadership</t>
  </si>
  <si>
    <t xml:space="preserve">Mercer Square Condominium Association</t>
  </si>
  <si>
    <t xml:space="preserve">Board director for a condominium association.</t>
  </si>
  <si>
    <t xml:space="preserve">Line in About</t>
  </si>
  <si>
    <t xml:space="preserve">Professional engineering projects</t>
  </si>
  <si>
    <t xml:space="preserve">E1</t>
  </si>
  <si>
    <t xml:space="preserve">Operations facility build-out (200K sq ft)</t>
  </si>
  <si>
    <t xml:space="preserve">Engineering project</t>
  </si>
  <si>
    <t xml:space="preserve">End-to-end design and construction of a facility combining office, automated distribution, clean pack, sterilization and additive manufacturing, as owner rep.</t>
  </si>
  <si>
    <t xml:space="preserve">200K sq ft; budget &gt;$10M; major utilities, equipment integration, controls, life safety; next-phase expansion and capacity planning; lean / continuous improvement.</t>
  </si>
  <si>
    <t xml:space="preserve">Design-build delivery, commissioning, validation</t>
  </si>
  <si>
    <t xml:space="preserve">Miniature diorama of the building</t>
  </si>
  <si>
    <t xml:space="preserve">Yes (generic massing, real proportions)</t>
  </si>
  <si>
    <t xml:space="preserve">Enovis logo (in repo); MPOC model (block massing at real proportions, six zones + mezzanine, from the updated plan; no rooms) + tile still + About hover turntable, in Lens v2. MPOC, CPS and the AM lab are one plant.</t>
  </si>
  <si>
    <t xml:space="preserve">Public-safe photos or layouts? NDA limits?</t>
  </si>
  <si>
    <t xml:space="preserve">E2</t>
  </si>
  <si>
    <t xml:space="preserve">Industrial additive manufacturing center (EBM + SLS)</t>
  </si>
  <si>
    <t xml:space="preserve">Built out an AM center with EBM and SLS systems for patient-specific implants.</t>
  </si>
  <si>
    <t xml:space="preserve">Utilities, equipment siting, install sequencing, material-flow layout, production validation; scalable workflows aligned with regulatory, quality and environmental standards.</t>
  </si>
  <si>
    <t xml:space="preserve">EBM, SLS, process validation</t>
  </si>
  <si>
    <t xml:space="preserve">Printer / lattice part</t>
  </si>
  <si>
    <t xml:space="preserve">Yes (shares the MPOC model, lab lit)</t>
  </si>
  <si>
    <t xml:space="preserve">Shares the MPOC 3D model, opening with the additive &amp; subtractive manufacturing lab highlighted</t>
  </si>
  <si>
    <t xml:space="preserve">What can be shown (medical device confidentiality).</t>
  </si>
  <si>
    <t xml:space="preserve">E3</t>
  </si>
  <si>
    <t xml:space="preserve">Automated dry mix production plant</t>
  </si>
  <si>
    <t xml:space="preserve">MAPEI</t>
  </si>
  <si>
    <t xml:space="preserve">Houston, TX</t>
  </si>
  <si>
    <t xml:space="preserve">Ground-up automated dry mix production and packaging plant.</t>
  </si>
  <si>
    <t xml:space="preserve">European / North American vendors; Italian electrical contractors for power and automation; air permitting and FAA approval; delivered on budget and schedule.</t>
  </si>
  <si>
    <t xml:space="preserve">SolidWorks, AutoCAD, P&amp;IDs, commissioning</t>
  </si>
  <si>
    <t xml:space="preserve">Silo tower (strong hero)</t>
  </si>
  <si>
    <t xml:space="preserve">Yes (Grant's exterior model of MAPEI Houston, v12)</t>
  </si>
  <si>
    <t xml:space="preserve">Portfolio p.4: elevation, P&amp;ID, 3D render, tower photo, interior photo. MAPEI Houston exterior model (GLB v12) live in Lens v2 (zones: silo &amp; mixing tower, production &amp; warehouse, offices, site), opens with the tower lit; tile still + About hover turntable</t>
  </si>
  <si>
    <t xml:space="preserve">Dates: placeholder for now (About shows it at ~March 2022).</t>
  </si>
  <si>
    <t xml:space="preserve">Portfolio 2025</t>
  </si>
  <si>
    <t xml:space="preserve">E4</t>
  </si>
  <si>
    <t xml:space="preserve">Robotic palletizer and bag applicator</t>
  </si>
  <si>
    <t xml:space="preserve">Tempe, AZ</t>
  </si>
  <si>
    <t xml:space="preserve">Added automated robotic palletizing and bag application to an existing dry mix plant.</t>
  </si>
  <si>
    <t xml:space="preserve">Doubled the plant's total output capacity; removed two manual operations; prefab kept downtime minimal.</t>
  </si>
  <si>
    <t xml:space="preserve">SolidWorks, AutoCAD, MS Project</t>
  </si>
  <si>
    <t xml:space="preserve">Robot cell</t>
  </si>
  <si>
    <t xml:space="preserve">Have vendor render (portfolio)</t>
  </si>
  <si>
    <t xml:space="preserve">Portfolio p.4: render + photo</t>
  </si>
  <si>
    <t xml:space="preserve">Dates: placeholder for now.</t>
  </si>
  <si>
    <t xml:space="preserve">E5</t>
  </si>
  <si>
    <t xml:space="preserve">Site development: 315K sq ft brownfield</t>
  </si>
  <si>
    <t xml:space="preserve">Houston, TX (from Dallas); same facility as E3 and E7</t>
  </si>
  <si>
    <t xml:space="preserve">Turned a speculative brownfield building into a full production and distribution facility.</t>
  </si>
  <si>
    <t xml:space="preserve">315K sq ft; design-build; vendor selection and contracts; multiple concurrent projects.</t>
  </si>
  <si>
    <t xml:space="preserve">MS Project, design-build</t>
  </si>
  <si>
    <t xml:space="preserve">Building / diorama</t>
  </si>
  <si>
    <t xml:space="preserve">Yes (shares the MAPEI Houston model)</t>
  </si>
  <si>
    <t xml:space="preserve">MAPEI Houston model; tile still from higher up, with the site</t>
  </si>
  <si>
    <t xml:space="preserve">Lived in Dallas, travelled to Houston for this project. Dates: placeholder.</t>
  </si>
  <si>
    <t xml:space="preserve">E6</t>
  </si>
  <si>
    <t xml:space="preserve">In-line static mixing process</t>
  </si>
  <si>
    <t xml:space="preserve">Milan → Dallas, TX</t>
  </si>
  <si>
    <t xml:space="preserve">First production version of a new static mixing technology, prototyped in Milan and built in Dallas.</t>
  </si>
  <si>
    <t xml:space="preserve">Production time −35%; manual operations removed; enabled bulk material purchasing; equipment procured from Europe.</t>
  </si>
  <si>
    <t xml:space="preserve">European vendors, electromechanical contractors</t>
  </si>
  <si>
    <t xml:space="preserve">Mixing skid (prototype → production story)</t>
  </si>
  <si>
    <t xml:space="preserve">Have CAD (render in portfolio)</t>
  </si>
  <si>
    <t xml:space="preserve">Portfolio p.5: drawing, 3D render, photo</t>
  </si>
  <si>
    <t xml:space="preserve">E7</t>
  </si>
  <si>
    <t xml:space="preserve">Liquid admixtures plant expansion ($5M)</t>
  </si>
  <si>
    <t xml:space="preserve">Houston, TX (in the MAPEI Houston facility, with E3)</t>
  </si>
  <si>
    <t xml:space="preserve">Plant expansion introducing automated blending and bulk transfer systems to the Southern U.S.</t>
  </si>
  <si>
    <t xml:space="preserve">$5M; design, construction, commissioning and lifecycle management.</t>
  </si>
  <si>
    <t xml:space="preserve">Process automation</t>
  </si>
  <si>
    <t xml:space="preserve">Process skid</t>
  </si>
  <si>
    <t xml:space="preserve">Yes (shares the MAPEI Houston model, plant building lit)</t>
  </si>
  <si>
    <t xml:space="preserve">MAPEI Houston model; tile still with the plant building lit</t>
  </si>
  <si>
    <t xml:space="preserve">Dates: placeholder for now. Where inside the building is the admixtures plant?</t>
  </si>
  <si>
    <t xml:space="preserve">Startup: OnlyChargeEV</t>
  </si>
  <si>
    <t xml:space="preserve">S1</t>
  </si>
  <si>
    <t xml:space="preserve">OnlyChargeEV</t>
  </si>
  <si>
    <t xml:space="preserve">Startup</t>
  </si>
  <si>
    <t xml:space="preserve">Founder</t>
  </si>
  <si>
    <t xml:space="preserve">Dallas, TX (Austin, Houston, San Antonio)</t>
  </si>
  <si>
    <t xml:space="preserve">2022</t>
  </si>
  <si>
    <t xml:space="preserve">Commercial EV charging service company across major Texas hubs.</t>
  </si>
  <si>
    <t xml:space="preserve">Partners: ChargePoint, Ford Pro, Xeal Energy, Verdek. Commercial, fleet and multifamily clients. Automated payments, accounting, compliance, estimating and proposals.</t>
  </si>
  <si>
    <t xml:space="preserve">CRM automation, email campaigns</t>
  </si>
  <si>
    <t xml:space="preserve">Charger pedestal + Texas map</t>
  </si>
  <si>
    <t xml:space="preserve">Generate (charger)</t>
  </si>
  <si>
    <t xml:space="preserve">Portfolio pp.2–3; OnlyChargeEV logo (in repo)</t>
  </si>
  <si>
    <t xml:space="preserve">Logo coming; use a lightning-bolt placeholder.</t>
  </si>
  <si>
    <t xml:space="preserve">S1a</t>
  </si>
  <si>
    <t xml:space="preserve">FedEx Office HQ workplace charging</t>
  </si>
  <si>
    <t xml:space="preserve">EV install</t>
  </si>
  <si>
    <t xml:space="preserve">Modernized workplace charging for FedEx Office HQ.</t>
  </si>
  <si>
    <t xml:space="preserve">8 Enel X JuiceBox Pro 40 L2 chargers on dual stands (4 replaced + 4 added = 8 ports); trenching, concrete, electrical; permits.</t>
  </si>
  <si>
    <t xml:space="preserve">Maybe</t>
  </si>
  <si>
    <t xml:space="preserve">Case inside S1</t>
  </si>
  <si>
    <t xml:space="preserve">Portfolio p.2: site plan + photo</t>
  </si>
  <si>
    <t xml:space="preserve">S1b</t>
  </si>
  <si>
    <t xml:space="preserve">Stallion Infrastructure Services fleet charging</t>
  </si>
  <si>
    <t xml:space="preserve">Fleet charging across a company campus.</t>
  </si>
  <si>
    <t xml:space="preserve">5 Ford Pro 11.5 kW (80A) wall-mounted L2 chargers; conduit, wiring, bollards; permitting.</t>
  </si>
  <si>
    <t xml:space="preserve">Portfolio p.2: photos</t>
  </si>
  <si>
    <t xml:space="preserve">S1c</t>
  </si>
  <si>
    <t xml:space="preserve">University multi-use commercial garage</t>
  </si>
  <si>
    <t xml:space="preserve">Fort Worth, TX</t>
  </si>
  <si>
    <t xml:space="preserve">Residential charging in a new multifamily parking garage.</t>
  </si>
  <si>
    <t xml:space="preserve">10 Xeal (32A) L2 chargers; power sharing to avoid electrical upgrades; commissioning.</t>
  </si>
  <si>
    <t xml:space="preserve">Portfolio p.3: plan + photo</t>
  </si>
  <si>
    <t xml:space="preserve">S1d</t>
  </si>
  <si>
    <t xml:space="preserve">Gateway Cedars multifamily</t>
  </si>
  <si>
    <t xml:space="preserve">Charging for a multifamily development.</t>
  </si>
  <si>
    <t xml:space="preserve">Two dual-port ChargePoint CT4000 units (4 ports); electrical upgrades; permitting.</t>
  </si>
  <si>
    <t xml:space="preserve">Portfolio p.3: aerial plan + photo</t>
  </si>
  <si>
    <t xml:space="preserve">University projects</t>
  </si>
  <si>
    <t xml:space="preserve">U1</t>
  </si>
  <si>
    <t xml:space="preserve">Formula SAE electric racecar</t>
  </si>
  <si>
    <t xml:space="preserve">University project</t>
  </si>
  <si>
    <t xml:space="preserve">2017</t>
  </si>
  <si>
    <t xml:space="preserve">Electric powertrain for KU's Formula SAE electric racecar.</t>
  </si>
  <si>
    <t xml:space="preserve">Led 5 electrical engineers; in-house motor controller; battery storage and management system; raced at Formula SAE Electric (Lincoln, NE).</t>
  </si>
  <si>
    <t xml:space="preserve">SolidWorks, MATLAB, FEA, 3D printing, CNC, laser, water jet</t>
  </si>
  <si>
    <t xml:space="preserve">Racecar</t>
  </si>
  <si>
    <t xml:space="preserve">Portfolio p.6: car render, controller and PCB photos</t>
  </si>
  <si>
    <t xml:space="preserve">CAD file? Race results?</t>
  </si>
  <si>
    <t xml:space="preserve">U2</t>
  </si>
  <si>
    <t xml:space="preserve">Assistive piano-pedal device</t>
  </si>
  <si>
    <t xml:space="preserve">KU biomechanical research</t>
  </si>
  <si>
    <t xml:space="preserve">Assistive devices that let a paraplegic pianist operate piano pedals.</t>
  </si>
  <si>
    <t xml:space="preserve">Played piano pedals for the first time; two additive prototypes, final part machined; team of 4; national news coverage.</t>
  </si>
  <si>
    <t xml:space="preserve">SolidWorks, 3D printing, CNC</t>
  </si>
  <si>
    <t xml:space="preserve">Pedal device</t>
  </si>
  <si>
    <t xml:space="preserve">Have CAD (renders in portfolio)</t>
  </si>
  <si>
    <t xml:space="preserve">Portfolio p.6: renders, photos, news still</t>
  </si>
  <si>
    <t xml:space="preserve">News links: dummy placeholders until you send real ones.</t>
  </si>
  <si>
    <t xml:space="preserve">Maker builds</t>
  </si>
  <si>
    <t xml:space="preserve">M1</t>
  </si>
  <si>
    <t xml:space="preserve">Resin Light 1.0</t>
  </si>
  <si>
    <t xml:space="preserve">Maker build</t>
  </si>
  <si>
    <t xml:space="preserve">Personal</t>
  </si>
  <si>
    <t xml:space="preserve">First functional prototype of the Resin Lights: illuminated art and lighting pieces that combine cast resin with integrated LED lighting, the resin acting as both the visual material and the diffuser, so the object glows instead of exposing a fixture.</t>
  </si>
  <si>
    <t xml:space="preserve">Built to test the concept and learn how materials, lighting and fabrication behave in practice: resin casting technique, mold design, LED placement, diffusion, brightness, heat management, structure, surface finish, assembly.</t>
  </si>
  <si>
    <t xml:space="preserve">Mold making, resin casting, LED integration, thermal and electrical design, fabrication, finishing</t>
  </si>
  <si>
    <t xml:space="preserve">Object photo or 3D</t>
  </si>
  <si>
    <t xml:space="preserve">Generate from photos</t>
  </si>
  <si>
    <t xml:space="preserve">None yet</t>
  </si>
  <si>
    <t xml:space="preserve">Photos coming.</t>
  </si>
  <si>
    <t xml:space="preserve">Chat</t>
  </si>
  <si>
    <t xml:space="preserve">M2</t>
  </si>
  <si>
    <t xml:space="preserve">Resin Light 2.0</t>
  </si>
  <si>
    <t xml:space="preserve">Refined, high-fidelity, production-intent Resin Light, built on the lessons from 1.0.</t>
  </si>
  <si>
    <t xml:space="preserve">Improved form, lighting quality, material consistency, manufacturing process, repeatability, assembly, durability, fit and finish. Goal: move past a one-off prototype to a design that could realistically be manufactured and sold.</t>
  </si>
  <si>
    <t xml:space="preserve">Mold making, resin casting, LED integration, design for manufacture</t>
  </si>
  <si>
    <t xml:space="preserve">M3</t>
  </si>
  <si>
    <t xml:space="preserve">LED wall art</t>
  </si>
  <si>
    <t xml:space="preserve">A series of wall-mounted illuminated art pieces designed and fabricated from the ground up: concealed LEDs, layered structural components, diffusers and controlled spacing give a soft glow or gradient while hiding the electronics.</t>
  </si>
  <si>
    <t xml:space="preserve">Arduino-based controls, integrated circuit board, wired LEDs and a Bluetooth module, plus a custom app to control lighting behaviour, brightness and effects.</t>
  </si>
  <si>
    <t xml:space="preserve">Arduino, custom circuit board, Bluetooth, addressable LEDs, control app</t>
  </si>
  <si>
    <t xml:space="preserve">Glowing panel</t>
  </si>
  <si>
    <t xml:space="preserve">Generate (simple)</t>
  </si>
  <si>
    <t xml:space="preserve">Photos / video coming.</t>
  </si>
  <si>
    <t xml:space="preserve">Apps &amp; software</t>
  </si>
  <si>
    <t xml:space="preserve">A1</t>
  </si>
  <si>
    <t xml:space="preserve">ContactFlow</t>
  </si>
  <si>
    <t xml:space="preserve">App</t>
  </si>
  <si>
    <t xml:space="preserve">Oct 2026</t>
  </si>
  <si>
    <t xml:space="preserve">Contact discovery pipeline: paste messy people / company data, extract contacts, find domains, discover email patterns, rank candidates, verify domains, export CSV.</t>
  </si>
  <si>
    <t xml:space="preserve">Your rating: ⭐ Excellent</t>
  </si>
  <si>
    <t xml:space="preserve">TypeScript, React, Vite, Tailwind, Supabase, Claude</t>
  </si>
  <si>
    <t xml:space="preserve">https://contact-flow-web.vercel.app</t>
  </si>
  <si>
    <t xml:space="preserve">Screen with real screenshot</t>
  </si>
  <si>
    <t xml:space="preserve">No (screen)</t>
  </si>
  <si>
    <t xml:space="preserve">Live site; app icon (redrawn from your screenshot: send the original file)</t>
  </si>
  <si>
    <t xml:space="preserve">Screenshot / short screen recording.</t>
  </si>
  <si>
    <t xml:space="preserve">Apps table</t>
  </si>
  <si>
    <t xml:space="preserve">A2</t>
  </si>
  <si>
    <t xml:space="preserve">JobPaper</t>
  </si>
  <si>
    <t xml:space="preserve">ChatGPT app that turns contractor notes and photos into estimates, change orders and job reports, with editable documents and PDF export.</t>
  </si>
  <si>
    <t xml:space="preserve">TypeScript, MCP, ChatGPT Apps, jsPDF, Vercel</t>
  </si>
  <si>
    <t xml:space="preserve">https://job-paper.vercel.app</t>
  </si>
  <si>
    <t xml:space="preserve">Live site</t>
  </si>
  <si>
    <t xml:space="preserve">A3</t>
  </si>
  <si>
    <t xml:space="preserve">Collateral Damage</t>
  </si>
  <si>
    <t xml:space="preserve">Sep 2026</t>
  </si>
  <si>
    <t xml:space="preserve">Interactive simulation explaining collateral-damage estimation with a paper city, Monte Carlo runs, adjustable strike parameters and population estimates.</t>
  </si>
  <si>
    <t xml:space="preserve">TypeScript, Vite, simulation workers</t>
  </si>
  <si>
    <t xml:space="preserve">https://collateral-damage.vercel.app</t>
  </si>
  <si>
    <t xml:space="preserve">A4</t>
  </si>
  <si>
    <t xml:space="preserve">Virtual Dog Playground</t>
  </si>
  <si>
    <t xml:space="preserve">Virtual backyard for Jaylee and Helga with animated sprites, needs, personalities, autonomous play, swimming, tug-of-war and AI chat.</t>
  </si>
  <si>
    <t xml:space="preserve">Your rating: ⭐ Excellent creative</t>
  </si>
  <si>
    <t xml:space="preserve">TypeScript, Claude, Vercel</t>
  </si>
  <si>
    <t xml:space="preserve">https://jaylee-app.vercel.app</t>
  </si>
  <si>
    <t xml:space="preserve">OK to name Jaylee and Helga, with a photo.</t>
  </si>
  <si>
    <t xml:space="preserve">A5</t>
  </si>
  <si>
    <t xml:space="preserve">Gradient UI / Atmos Studio</t>
  </si>
  <si>
    <t xml:space="preserve">Nature-inspired gradient studio: 87 curated gradients, mesh editing, weather effects, animation, Live Sky, photo palette extraction, AI generation.</t>
  </si>
  <si>
    <t xml:space="preserve">Your rating: ⭐ Excellent visual</t>
  </si>
  <si>
    <t xml:space="preserve">TypeScript, React, Vite, Supabase, Claude</t>
  </si>
  <si>
    <t xml:space="preserve">https://gradient-ui.vercel.app</t>
  </si>
  <si>
    <t xml:space="preserve">A6</t>
  </si>
  <si>
    <t xml:space="preserve">GoldStarMan</t>
  </si>
  <si>
    <t xml:space="preserve">Jan 2026</t>
  </si>
  <si>
    <t xml:space="preserve">Goal and habit app built on yearly goals, weekly minimums and low-pressure daily progress instead of streaks.</t>
  </si>
  <si>
    <t xml:space="preserve">Your rating: Good</t>
  </si>
  <si>
    <t xml:space="preserve">Next.js 15, TypeScript, Tailwind</t>
  </si>
  <si>
    <t xml:space="preserve">https://gold-star-man.vercel.app</t>
  </si>
  <si>
    <t xml:space="preserve">A7</t>
  </si>
  <si>
    <t xml:space="preserve">Story AI (private)</t>
  </si>
  <si>
    <t xml:space="preserve">Nov 2025 (approx.)</t>
  </si>
  <si>
    <t xml:space="preserve">Nov 2025</t>
  </si>
  <si>
    <t xml:space="preserve">Personalized children's story generator with character creation, story library, auth and an interactive reader.</t>
  </si>
  <si>
    <t xml:space="preserve">Next.js 16, TypeScript, Supabase, Tailwind</t>
  </si>
  <si>
    <t xml:space="preserve">Screenshots only (private).</t>
  </si>
  <si>
    <t xml:space="preserve">A8</t>
  </si>
  <si>
    <t xml:space="preserve">AIConstruction</t>
  </si>
  <si>
    <t xml:space="preserve">Apr 2025</t>
  </si>
  <si>
    <t xml:space="preserve">Conversational DIY / construction assistant: recommends materials and tools, builds shopping lists, supports affiliate links.</t>
  </si>
  <si>
    <t xml:space="preserve">Next.js, TypeScript, Tailwind, OpenAI</t>
  </si>
  <si>
    <t xml:space="preserve">Live link to add.</t>
  </si>
  <si>
    <t xml:space="preserve">A9</t>
  </si>
  <si>
    <t xml:space="preserve">Gmail Agent (private)</t>
  </si>
  <si>
    <t xml:space="preserve">Jan 2025 (approx.)</t>
  </si>
  <si>
    <t xml:space="preserve">Jan 2025</t>
  </si>
  <si>
    <t xml:space="preserve">AI email assistant: monitors Gmail, uses Claude to decide which messages need action, creates prioritized Todoist tasks.</t>
  </si>
  <si>
    <t xml:space="preserve">Your rating: Good AI automation</t>
  </si>
  <si>
    <t xml:space="preserve">Python, Gmail API, Claude, Todoist</t>
  </si>
  <si>
    <t xml:space="preserve">A10</t>
  </si>
  <si>
    <t xml:space="preserve">Silo Fill</t>
  </si>
  <si>
    <t xml:space="preserve">Nov 2024</t>
  </si>
  <si>
    <t xml:space="preserve">Engineering notebook visualizing silo fill level with an interactive percentage slider and generated plots.</t>
  </si>
  <si>
    <t xml:space="preserve">Your rating: ⭐ Useful engineering artifact</t>
  </si>
  <si>
    <t xml:space="preserve">Python, Jupyter, Matplotlib, widgets</t>
  </si>
  <si>
    <t xml:space="preserve">Ties to the silo plant (E3). Publishable as an interactive?</t>
  </si>
  <si>
    <t xml:space="preserve">A11</t>
  </si>
  <si>
    <t xml:space="preserve">RoomAI</t>
  </si>
  <si>
    <t xml:space="preserve">Photo of a room in, segmentation finds walls, floors, windows and doors, out come material quantities and cost estimates.</t>
  </si>
  <si>
    <t xml:space="preserve">Your rating: ⭐ Strong AI / Engineering</t>
  </si>
  <si>
    <t xml:space="preserve">AI image segmentation (SAM 3.0), web app</t>
  </si>
  <si>
    <t xml:space="preserve">https://luminous-horse-8a5278.netlify.app</t>
  </si>
  <si>
    <t xml:space="preserve">A12</t>
  </si>
  <si>
    <t xml:space="preserve">Cover Letter Agent (Stupid Simple AI Agents)</t>
  </si>
  <si>
    <t xml:space="preserve">Takes a job description and generates a tailored cover letter, with PDF output and a simple web interface.</t>
  </si>
  <si>
    <t xml:space="preserve">AI automation, web app, document generation</t>
  </si>
  <si>
    <t xml:space="preserve">https://strong-paletas-d76f45.netlify.app</t>
  </si>
  <si>
    <t xml:space="preserve">A13</t>
  </si>
  <si>
    <t xml:space="preserve">Custom LLM training pipeline</t>
  </si>
  <si>
    <t xml:space="preserve">Scraped and cleaned thousands of construction datasheets, then fine-tuned a quantized Meta Llama model into a construction-focused LLM.</t>
  </si>
  <si>
    <t xml:space="preserve">Your rating: ⭐ Excellent AI / Engineering</t>
  </si>
  <si>
    <t xml:space="preserve">Python, Llama 3.x, fine-tuning, quantization, web scraping</t>
  </si>
  <si>
    <t xml:space="preserve">A14</t>
  </si>
  <si>
    <t xml:space="preserve">Factory digital twin</t>
  </si>
  <si>
    <t xml:space="preserve">Personal (verify)</t>
  </si>
  <si>
    <t xml:space="preserve">Digital twin of a factory (details to come).</t>
  </si>
  <si>
    <t xml:space="preserve">Screen with real screenshot / 3D view</t>
  </si>
  <si>
    <t xml:space="preserve">Maybe (it is a model)</t>
  </si>
  <si>
    <t xml:space="preserve">What it models, tech, year, link, screenshots. Personal, or tied to an employer (confidential)?</t>
  </si>
  <si>
    <t xml:space="preserve">Your note in chat</t>
  </si>
  <si>
    <t xml:space="preserve">Films (35mm albums)</t>
  </si>
  <si>
    <t xml:space="preserve">F1</t>
  </si>
  <si>
    <t xml:space="preserve">Mallorca, Ibiza &amp; Formentera (35mm)</t>
  </si>
  <si>
    <t xml:space="preserve">Film album</t>
  </si>
  <si>
    <t xml:space="preserve">35mm film</t>
  </si>
  <si>
    <t xml:space="preserve">Spain</t>
  </si>
  <si>
    <t xml:space="preserve">65 photos.</t>
  </si>
  <si>
    <t xml:space="preserve">Print stack</t>
  </si>
  <si>
    <t xml:space="preserve">No (photos)</t>
  </si>
  <si>
    <t xml:space="preserve">Google Photos album</t>
  </si>
  <si>
    <t xml:space="preserve">Photos: placeholders until the folder / links arrive.</t>
  </si>
  <si>
    <t xml:space="preserve">Photos</t>
  </si>
  <si>
    <t xml:space="preserve">F2</t>
  </si>
  <si>
    <t xml:space="preserve">Lagos, Algarve &amp; Lisbon (35mm)</t>
  </si>
  <si>
    <t xml:space="preserve">Portugal</t>
  </si>
  <si>
    <t xml:space="preserve">64 photos.</t>
  </si>
  <si>
    <t xml:space="preserve">F3</t>
  </si>
  <si>
    <t xml:space="preserve">Argentina–Chile–Peru (35mm)</t>
  </si>
  <si>
    <t xml:space="preserve">Argentina, Chile, Peru</t>
  </si>
  <si>
    <t xml:space="preserve">267 photos.</t>
  </si>
  <si>
    <t xml:space="preserve">F4</t>
  </si>
  <si>
    <t xml:space="preserve">Mexico (35mm)</t>
  </si>
  <si>
    <t xml:space="preserve">Mexico</t>
  </si>
  <si>
    <t xml:space="preserve">84 photos.</t>
  </si>
  <si>
    <t xml:space="preserve">F5</t>
  </si>
  <si>
    <t xml:space="preserve">New Mexico (Father &amp; Son) (35mm)</t>
  </si>
  <si>
    <t xml:space="preserve">New Mexico, USA</t>
  </si>
  <si>
    <t xml:space="preserve">39 photos.</t>
  </si>
  <si>
    <t xml:space="preserve">F6</t>
  </si>
  <si>
    <t xml:space="preserve">Brazil (35mm)</t>
  </si>
  <si>
    <t xml:space="preserve">Brazil</t>
  </si>
  <si>
    <t xml:space="preserve">177 photos.</t>
  </si>
  <si>
    <t xml:space="preserve">F7</t>
  </si>
  <si>
    <t xml:space="preserve">Peru (35mm)</t>
  </si>
  <si>
    <t xml:space="preserve">Peru</t>
  </si>
  <si>
    <t xml:space="preserve">106 photos.</t>
  </si>
  <si>
    <t xml:space="preserve">F8</t>
  </si>
  <si>
    <t xml:space="preserve">Palm Beach (35mm)</t>
  </si>
  <si>
    <t xml:space="preserve">Florida, USA</t>
  </si>
  <si>
    <t xml:space="preserve">F9</t>
  </si>
  <si>
    <t xml:space="preserve">Mexico City (35mm)</t>
  </si>
  <si>
    <t xml:space="preserve">59 photos.</t>
  </si>
  <si>
    <t xml:space="preserve">F10</t>
  </si>
  <si>
    <t xml:space="preserve">Italy (35mm)</t>
  </si>
  <si>
    <t xml:space="preserve">Italy</t>
  </si>
  <si>
    <t xml:space="preserve">F11</t>
  </si>
  <si>
    <t xml:space="preserve">Colombia (35mm)</t>
  </si>
  <si>
    <t xml:space="preserve">Colombia</t>
  </si>
  <si>
    <t xml:space="preserve">53 photos.</t>
  </si>
  <si>
    <t xml:space="preserve">Places lived (Travel)</t>
  </si>
  <si>
    <t xml:space="preserve">P1</t>
  </si>
  <si>
    <t xml:space="preserve">Wilmette, IL</t>
  </si>
  <si>
    <t xml:space="preserve">Place lived</t>
  </si>
  <si>
    <t xml:space="preserve">Born / grew up</t>
  </si>
  <si>
    <t xml:space="preserve">Born / grew up.</t>
  </si>
  <si>
    <t xml:space="preserve">Home marker on the map</t>
  </si>
  <si>
    <t xml:space="preserve">Chicago area.</t>
  </si>
  <si>
    <t xml:space="preserve">Profile notes + resume</t>
  </si>
  <si>
    <t xml:space="preserve">P2</t>
  </si>
  <si>
    <t xml:space="preserve">Lived (university)</t>
  </si>
  <si>
    <t xml:space="preserve">Lived (university).</t>
  </si>
  <si>
    <t xml:space="preserve">Inferred from KU dates.</t>
  </si>
  <si>
    <t xml:space="preserve">P3</t>
  </si>
  <si>
    <t xml:space="preserve">Lived / worked</t>
  </si>
  <si>
    <t xml:space="preserve">Lived / worked.</t>
  </si>
  <si>
    <t xml:space="preserve">Inferred from MAPEI Chicago; lived in Chicago or Wilmette?</t>
  </si>
  <si>
    <t xml:space="preserve">P4</t>
  </si>
  <si>
    <t xml:space="preserve">Lived (moved abroad)</t>
  </si>
  <si>
    <t xml:space="preserve">Lived (moved abroad).</t>
  </si>
  <si>
    <t xml:space="preserve">Inferred from MAPEI SpA.</t>
  </si>
  <si>
    <t xml:space="preserve">P5</t>
  </si>
  <si>
    <t xml:space="preserve">Lived</t>
  </si>
  <si>
    <t xml:space="preserve">Lived.</t>
  </si>
  <si>
    <t xml:space="preserve">Inferred from MAPEI Corp / OnlyChargeEV.</t>
  </si>
  <si>
    <t xml:space="preserve">P6</t>
  </si>
  <si>
    <t xml:space="preserve">Lives now</t>
  </si>
  <si>
    <t xml:space="preserve">Lives now.</t>
  </si>
  <si>
    <t xml:space="preserve">Since April 2025.</t>
  </si>
  <si>
    <t xml:space="preserve">Section</t>
  </si>
  <si>
    <t xml:space="preserve">Main (●)</t>
  </si>
  <si>
    <t xml:space="preserve">Appears (● + ○)</t>
  </si>
  <si>
    <t xml:space="preserve">Featured (main + Yes)</t>
  </si>
  <si>
    <t xml:space="preserve">Target min</t>
  </si>
  <si>
    <t xml:space="preserve">Target max</t>
  </si>
  <si>
    <t xml:space="preserve">Status</t>
  </si>
  <si>
    <t xml:space="preserve">Note</t>
  </si>
  <si>
    <t xml:space="preserve">Milestones, not the whole archive.</t>
  </si>
  <si>
    <t xml:space="preserve">Your picks: 7. E5 could pair with E3 (both Houston) if it feels busy.</t>
  </si>
  <si>
    <t xml:space="preserve">Builds and the startup.</t>
  </si>
  <si>
    <t xml:space="preserve">All 11 films chosen, as stacks on the Art plot.</t>
  </si>
  <si>
    <t xml:space="preserve">Places lived + trips worth showing.</t>
  </si>
  <si>
    <t xml:space="preserve">Strongest apps.</t>
  </si>
  <si>
    <t xml:space="preserve">Artifacts listed</t>
  </si>
  <si>
    <t xml:space="preserve">Targets (blue) are my suggestions from our discussion: change them freely. "Featured" counts artifacts whose main section is this one and Featured? = Yes.</t>
  </si>
  <si>
    <t xml:space="preserve">Place</t>
  </si>
  <si>
    <t xml:space="preserve">Country</t>
  </si>
  <si>
    <t xml:space="preserve">Kind</t>
  </si>
  <si>
    <t xml:space="preserve">From</t>
  </si>
  <si>
    <t xml:space="preserve">To</t>
  </si>
  <si>
    <t xml:space="preserve">Why</t>
  </si>
  <si>
    <t xml:space="preserve">Lat</t>
  </si>
  <si>
    <t xml:space="preserve">Lon</t>
  </si>
  <si>
    <t xml:space="preserve">Show on map?</t>
  </si>
  <si>
    <t xml:space="preserve">USA</t>
  </si>
  <si>
    <t xml:space="preserve">Confirmed: before Lawrence. Marked "born" on the map (phones say "Chicago · born")</t>
  </si>
  <si>
    <t xml:space="preserve">Confirmed</t>
  </si>
  <si>
    <t xml:space="preserve">MAPEI Chicago</t>
  </si>
  <si>
    <t xml:space="preserve">Milan</t>
  </si>
  <si>
    <t xml:space="preserve">MAPEI SpA</t>
  </si>
  <si>
    <t xml:space="preserve">MAPEI Corp; OnlyChargeEV</t>
  </si>
  <si>
    <t xml:space="preserve">Confirmed; until the Austin move (April 2025)</t>
  </si>
  <si>
    <t xml:space="preserve">Enovis</t>
  </si>
  <si>
    <t xml:space="preserve">Since April 2025</t>
  </si>
  <si>
    <t xml:space="preserve">Work site</t>
  </si>
  <si>
    <t xml:space="preserve">MAPEI Houston, one facility: dry mix plant (E3), liquid admixtures plant (E7), site development (E5); Stallion EV (S1b)</t>
  </si>
  <si>
    <t xml:space="preserve">Robotic palletizer (E4)</t>
  </si>
  <si>
    <t xml:space="preserve">Multifamily garage charging (S1c)</t>
  </si>
  <si>
    <t xml:space="preserve">Lincoln, NE</t>
  </si>
  <si>
    <t xml:space="preserve">Event</t>
  </si>
  <si>
    <t xml:space="preserve">Formula SAE Electric competition</t>
  </si>
  <si>
    <t xml:space="preserve">Mallorca, Ibiza &amp; Formentera</t>
  </si>
  <si>
    <t xml:space="preserve">Trip</t>
  </si>
  <si>
    <t xml:space="preserve">2026</t>
  </si>
  <si>
    <t xml:space="preserve">Film F1</t>
  </si>
  <si>
    <t xml:space="preserve">Lagos, Algarve &amp; Lisbon</t>
  </si>
  <si>
    <t xml:space="preserve">Film F2</t>
  </si>
  <si>
    <t xml:space="preserve">Argentina–Chile–Peru</t>
  </si>
  <si>
    <t xml:space="preserve">Film F3</t>
  </si>
  <si>
    <t xml:space="preserve">Which cities?</t>
  </si>
  <si>
    <t xml:space="preserve">Film F4</t>
  </si>
  <si>
    <t xml:space="preserve">New Mexico</t>
  </si>
  <si>
    <t xml:space="preserve">Film F5 (father &amp; son)</t>
  </si>
  <si>
    <t xml:space="preserve">Film F6</t>
  </si>
  <si>
    <t xml:space="preserve">Cover looks like Rio: verify</t>
  </si>
  <si>
    <t xml:space="preserve">2023</t>
  </si>
  <si>
    <t xml:space="preserve">Film F7</t>
  </si>
  <si>
    <t xml:space="preserve">Palm Beach, FL</t>
  </si>
  <si>
    <t xml:space="preserve">Film F8</t>
  </si>
  <si>
    <t xml:space="preserve">Mexico City</t>
  </si>
  <si>
    <t xml:space="preserve">Film F9</t>
  </si>
  <si>
    <t xml:space="preserve">Film F10</t>
  </si>
  <si>
    <t xml:space="preserve">Cover looks like Rome: verify</t>
  </si>
  <si>
    <t xml:space="preserve">Film F11</t>
  </si>
  <si>
    <t xml:space="preserve">Lived vs travelled are kept separate. Countries visited (34) are on the Countries sheet and all shaded on the Travel map.</t>
  </si>
  <si>
    <t xml:space="preserve">Coordinates are approximate city centres for the map; blank where the city is unknown.</t>
  </si>
  <si>
    <t xml:space="preserve">Album</t>
  </si>
  <si>
    <t xml:space="preserve">Year</t>
  </si>
  <si>
    <t xml:space="preserve">Total</t>
  </si>
  <si>
    <t xml:space="preserve">Featured</t>
  </si>
  <si>
    <t xml:space="preserve">Photo counts come from your Google Photos screenshot. Each album becomes one print stack in Art and a trip on the Travel map.</t>
  </si>
  <si>
    <t xml:space="preserve">I hace them on google just add place holders viaul now we can give you folder or links later for the phtoos.</t>
  </si>
  <si>
    <t xml:space="preserve">#</t>
  </si>
  <si>
    <t xml:space="preserve">Region</t>
  </si>
  <si>
    <t xml:space="preserve">On the Travel map</t>
  </si>
  <si>
    <t xml:space="preserve">North America</t>
  </si>
  <si>
    <t xml:space="preserve">Shaded</t>
  </si>
  <si>
    <t xml:space="preserve">Canada</t>
  </si>
  <si>
    <t xml:space="preserve">Bahamas</t>
  </si>
  <si>
    <t xml:space="preserve">Caribbean</t>
  </si>
  <si>
    <t xml:space="preserve">Dominican Republic</t>
  </si>
  <si>
    <t xml:space="preserve">Dominica</t>
  </si>
  <si>
    <t xml:space="preserve">Dot</t>
  </si>
  <si>
    <t xml:space="preserve">Too small for the map outlines</t>
  </si>
  <si>
    <t xml:space="preserve">St Lucia</t>
  </si>
  <si>
    <t xml:space="preserve">Barbados</t>
  </si>
  <si>
    <t xml:space="preserve">St Kitts</t>
  </si>
  <si>
    <t xml:space="preserve">Jamaica</t>
  </si>
  <si>
    <t xml:space="preserve">Belize</t>
  </si>
  <si>
    <t xml:space="preserve">Central America</t>
  </si>
  <si>
    <t xml:space="preserve">Honduras</t>
  </si>
  <si>
    <t xml:space="preserve">Panama</t>
  </si>
  <si>
    <t xml:space="preserve">Guatemala</t>
  </si>
  <si>
    <t xml:space="preserve">South America</t>
  </si>
  <si>
    <t xml:space="preserve">Films F3, F7</t>
  </si>
  <si>
    <t xml:space="preserve">Argentina</t>
  </si>
  <si>
    <t xml:space="preserve">Chile</t>
  </si>
  <si>
    <t xml:space="preserve">South Africa</t>
  </si>
  <si>
    <t xml:space="preserve">Africa</t>
  </si>
  <si>
    <t xml:space="preserve">Europe</t>
  </si>
  <si>
    <t xml:space="preserve">Lived (Milan); film F10</t>
  </si>
  <si>
    <t xml:space="preserve">Slovenia</t>
  </si>
  <si>
    <t xml:space="preserve">France</t>
  </si>
  <si>
    <t xml:space="preserve">Croatia</t>
  </si>
  <si>
    <t xml:space="preserve">Hungary</t>
  </si>
  <si>
    <t xml:space="preserve">Czech Republic</t>
  </si>
  <si>
    <t xml:space="preserve">Germany</t>
  </si>
  <si>
    <t xml:space="preserve">Switzerland</t>
  </si>
  <si>
    <t xml:space="preserve">Denmark</t>
  </si>
  <si>
    <t xml:space="preserve">England (UK)</t>
  </si>
  <si>
    <t xml:space="preserve">Netherlands</t>
  </si>
  <si>
    <t xml:space="preserve">Austria</t>
  </si>
  <si>
    <t xml:space="preserve">Your list, 34 countries (count verified). Every one is on the Travel map: shaded, or a dot for the four islands too small for its outlines.</t>
  </si>
  <si>
    <t xml:space="preserve">Group</t>
  </si>
  <si>
    <t xml:space="preserve">Item</t>
  </si>
  <si>
    <t xml:space="preserve">Detail</t>
  </si>
  <si>
    <t xml:space="preserve">Use on site?</t>
  </si>
  <si>
    <t xml:space="preserve">Theme</t>
  </si>
  <si>
    <t xml:space="preserve">Builder</t>
  </si>
  <si>
    <t xml:space="preserve">Takes things from idea through design, construction, commissioning and real operation.</t>
  </si>
  <si>
    <t xml:space="preserve">Your notes</t>
  </si>
  <si>
    <t xml:space="preserve">Field-oriented engineer</t>
  </si>
  <si>
    <t xml:space="preserve">Comfortable on a site or factory floor; wants a tangible connection to what gets built.</t>
  </si>
  <si>
    <t xml:space="preserve">Problem solver</t>
  </si>
  <si>
    <t xml:space="preserve">Drawn to ambiguous situations: understand the system, work the constraints, find a path.</t>
  </si>
  <si>
    <t xml:space="preserve">Internationally curious</t>
  </si>
  <si>
    <t xml:space="preserve">Travel, living abroad, languages and cultures are central, not occasional.</t>
  </si>
  <si>
    <t xml:space="preserve">Active / adventurous</t>
  </si>
  <si>
    <t xml:space="preserve">Movement, outdoors, exploration, learning new physical skills.</t>
  </si>
  <si>
    <t xml:space="preserve">Language</t>
  </si>
  <si>
    <t xml:space="preserve">English</t>
  </si>
  <si>
    <t xml:space="preserve">Native</t>
  </si>
  <si>
    <t xml:space="preserve">Italian</t>
  </si>
  <si>
    <t xml:space="preserve">Professional working proficiency</t>
  </si>
  <si>
    <t xml:space="preserve">Portuguese</t>
  </si>
  <si>
    <t xml:space="preserve">Learning</t>
  </si>
  <si>
    <t xml:space="preserve">Profile</t>
  </si>
  <si>
    <t xml:space="preserve">Deeply curious, adventurous, hands-on; likes unfamiliar problems and new environments; cultures and learning.</t>
  </si>
  <si>
    <t xml:space="preserve">Interests</t>
  </si>
  <si>
    <t xml:space="preserve">Travel; film / photography</t>
  </si>
  <si>
    <t xml:space="preserve">Endurance</t>
  </si>
  <si>
    <t xml:space="preserve">Running, trail running, cycling / mountain biking, swimming, triathlons, hiking</t>
  </si>
  <si>
    <t xml:space="preserve">Board &amp; water</t>
  </si>
  <si>
    <t xml:space="preserve">Snowboarding, surfing, kitesurfing</t>
  </si>
  <si>
    <t xml:space="preserve">Ball &amp; racket</t>
  </si>
  <si>
    <t xml:space="preserve">Soccer, padel, pickleball, golf</t>
  </si>
  <si>
    <t xml:space="preserve">Values</t>
  </si>
  <si>
    <t xml:space="preserve">Family and friends, curiosity, learning, exploration, independence, problem solving, physical activity, different cultures.</t>
  </si>
  <si>
    <t xml:space="preserve">Industries</t>
  </si>
  <si>
    <t xml:space="preserve">Manufacturing; construction materials / chemicals (MAPEI); medical devices and additive manufacturing (Enovis); EV infrastructure; industrial construction.</t>
  </si>
  <si>
    <t xml:space="preserve">Skills</t>
  </si>
  <si>
    <t xml:space="preserve">Management</t>
  </si>
  <si>
    <t xml:space="preserve">Project management, business development, budget planning, industrial construction, procurement, strategic planning, site integration, risk tracking, expansion planning, equipment installation &amp; integration.</t>
  </si>
  <si>
    <t xml:space="preserve">Technical</t>
  </si>
  <si>
    <t xml:space="preserve">Mechanical &amp; electrical systems design, EV infrastructure, P&amp;IDs, process automation, permits &amp; compliance.</t>
  </si>
  <si>
    <t xml:space="preserve">Engineering software</t>
  </si>
  <si>
    <t xml:space="preserve">AutoCAD, SolidWorks, MATLAB, LabVIEW, Microsoft Project, CRM / ERP.</t>
  </si>
  <si>
    <t xml:space="preserve">Software (from app building)</t>
  </si>
  <si>
    <t xml:space="preserve">TypeScript, React, Next.js, Vite, Tailwind, Supabase, Python, Claude / OpenAI APIs, MCP, Llama fine-tuning, image segmentation.</t>
  </si>
  <si>
    <t xml:space="preserve">Future</t>
  </si>
  <si>
    <t xml:space="preserve">Future interests</t>
  </si>
  <si>
    <t xml:space="preserve">(industries, locations, technologies, roles you want next) we can maybe add place for this with placeholder and ill add or deelte stuff</t>
  </si>
  <si>
    <t xml:space="preserve">Ask</t>
  </si>
  <si>
    <t xml:space="preserve">To fill</t>
  </si>
  <si>
    <t xml:space="preserve">Rule</t>
  </si>
  <si>
    <t xml:space="preserve">Resume facts vs personal context</t>
  </si>
  <si>
    <t xml:space="preserve">Keep personal context (family, sports, travel) out of anything resume-like unless chosen deliberately.</t>
  </si>
  <si>
    <t xml:space="preserve">Show, don't tell</t>
  </si>
  <si>
    <t xml:space="preserve">No more personality words. The five themes are enough; the projects, photos, travel, languages, sports, startup and apps prove them.</t>
  </si>
  <si>
    <t xml:space="preserve">One quiet line</t>
  </si>
  <si>
    <t xml:space="preserve">At most one line in About: "Based in Austin · English, Italian, learning Portuguese". Languages stay off the Travel map; sports stay off the films and trips.</t>
  </si>
  <si>
    <t xml:space="preserve">Your answer</t>
  </si>
  <si>
    <t xml:space="preserve">Jaylee and Helga</t>
  </si>
  <si>
    <t xml:space="preserve">Named, as one small sprite of each sitting on the 2021 ring in About (name on hover), never as a tile.</t>
  </si>
  <si>
    <t xml:space="preserve">not sure how to diplay all the about profle stuff don’t want to make everythign to busy also!!</t>
  </si>
  <si>
    <t xml:space="preserve">→ Decided: the one quiet line and the dogs (rows 24–25). Everything else here is shown by the work itself, not listed.</t>
  </si>
  <si>
    <t xml:space="preserve">Race</t>
  </si>
  <si>
    <t xml:space="preserve">Austin Marathon</t>
  </si>
  <si>
    <t xml:space="preserve">Full marathon (26.2 mi), February 2024. Its logo, small, on the 2024 ring in About (name on hover).</t>
  </si>
  <si>
    <t xml:space="preserve">Your note</t>
  </si>
  <si>
    <t xml:space="preserve">IRONMAN 70.3 Texas</t>
  </si>
  <si>
    <t xml:space="preserve">Spring 2026 (April as a placeholder). Its logo, small, on the 2026 ring in About.</t>
  </si>
  <si>
    <t xml:space="preserve">Question</t>
  </si>
  <si>
    <t xml:space="preserve">Affects</t>
  </si>
  <si>
    <t xml:space="preserve">Your portfolio PDF is marked "confidential, intended solely for the recipient". Is it OK to show these projects (photos, renders, numbers) on a public site?</t>
  </si>
  <si>
    <t xml:space="preserve">E3–E6, S1a–d, U1–U2</t>
  </si>
  <si>
    <t xml:space="preserve">What can be shown publicly about Enovis (photos, layouts, numbers)?</t>
  </si>
  <si>
    <t xml:space="preserve">R1, E1, E2</t>
  </si>
  <si>
    <t xml:space="preserve">Yes we can decide later</t>
  </si>
  <si>
    <t xml:space="preserve">Full country list (34 entries counted earlier vs 33 in your note).</t>
  </si>
  <si>
    <t xml:space="preserve">Travel map</t>
  </si>
  <si>
    <t xml:space="preserve">you cab veify count those should all go on map</t>
  </si>
  <si>
    <t xml:space="preserve">Places lived: confirm cities and years (Lawrence 2014–18; Chicago or Wilmette 2018–19; Milan 2019–21; Dallas 2021–24; Austin since when?).</t>
  </si>
  <si>
    <t xml:space="preserve">P1–P6, About</t>
  </si>
  <si>
    <t xml:space="preserve">april 2025 to now</t>
  </si>
  <si>
    <t xml:space="preserve">Start / end dates for the MAPEI projects (dry mix plant, palletizer, static mixing, site development, liquid admixtures).</t>
  </si>
  <si>
    <t xml:space="preserve">E3–E7</t>
  </si>
  <si>
    <t xml:space="preserve">skip for now maybe just makr placeholers</t>
  </si>
  <si>
    <t xml:space="preserve">Stallion fleet project: 3 or 5 chargers? The portfolio says both.</t>
  </si>
  <si>
    <t xml:space="preserve">5 chargers</t>
  </si>
  <si>
    <t xml:space="preserve">Site development: Houston (portfolio) while the role was Dallas-based. Confirm, and show it with the dry mix plant as one Houston story?</t>
  </si>
  <si>
    <t xml:space="preserve">E5, E3</t>
  </si>
  <si>
    <t xml:space="preserve">I traveled yes from dallas to houston lived in dallas</t>
  </si>
  <si>
    <t xml:space="preserve">$5M liquid admixtures expansion: where, when, any photos?</t>
  </si>
  <si>
    <t xml:space="preserve">yes I have</t>
  </si>
  <si>
    <t xml:space="preserve">Resin Light 1.0 / 2.0 and LED wall art: what they are, materials, years, photos, any code or controller.</t>
  </si>
  <si>
    <t xml:space="preserve">M1–M3</t>
  </si>
  <si>
    <t xml:space="preserve">Descriptions received (now in M1–M3). Photos later.</t>
  </si>
  <si>
    <t xml:space="preserve">Which CAD files can you export (dry mix tower, palletizer, static mixer, FSAE car, piano-pedal device)? These become the 3D models.</t>
  </si>
  <si>
    <t xml:space="preserve">3D models</t>
  </si>
  <si>
    <t xml:space="preserve">we mguht have to make respresetnations for some not acutal ones. Then show phtoso when we click on them!</t>
  </si>
  <si>
    <t xml:space="preserve">Links to the news coverage of the piano-pedal device.</t>
  </si>
  <si>
    <t xml:space="preserve">yes I can get add dummy ones</t>
  </si>
  <si>
    <t xml:space="preserve">Album years (only the 2025 ones are dated) and the cities for Argentina–Chile–Peru, Mexico, New Mexico, Peru. Colombia album is empty.</t>
  </si>
  <si>
    <t xml:space="preserve">F1–F11, Travel</t>
  </si>
  <si>
    <t xml:space="preserve">fixed</t>
  </si>
  <si>
    <t xml:space="preserve">Apps: OK to link every live one? Screenshots for the private ones (Story AI, Gmail Agent)?</t>
  </si>
  <si>
    <t xml:space="preserve">A1–A13</t>
  </si>
  <si>
    <t xml:space="preserve">yes ill get you the links that are live dummy ones and mark if not</t>
  </si>
  <si>
    <t xml:space="preserve">OK to name Jaylee and Helga on the site?</t>
  </si>
  <si>
    <t xml:space="preserve">A4, About</t>
  </si>
  <si>
    <t xml:space="preserve">Yes name them and we can put photo!</t>
  </si>
  <si>
    <t xml:space="preserve">Contact on the site: email, LinkedIn (linkedin.com/in/grant-t-sacco), both?</t>
  </si>
  <si>
    <t xml:space="preserve">Contact card</t>
  </si>
  <si>
    <t xml:space="preserve">Both</t>
  </si>
  <si>
    <t xml:space="preserve">Use the headshot from the portfolio in About?</t>
  </si>
  <si>
    <t xml:space="preserve">Yes I can also give you another one if needed</t>
  </si>
  <si>
    <t xml:space="preserve">Future interests (roles, industries, places, technologies).</t>
  </si>
  <si>
    <t xml:space="preserve">no</t>
  </si>
  <si>
    <t xml:space="preserve">PMP: year earned. HOA board: keep or drop?</t>
  </si>
  <si>
    <t xml:space="preserve">R7, R8</t>
  </si>
  <si>
    <t xml:space="preserve">PMP don’t add and HOA don’t add this is not a reume</t>
  </si>
  <si>
    <t xml:space="preserve">I don't have the country list itself: it was in an earlier conversation. Paste it and I'll verify the count and put every country on the map.</t>
  </si>
  <si>
    <t xml:space="preserve">Received: 34 countries (count verified). All on the map; see the Countries sheet.</t>
  </si>
  <si>
    <t xml:space="preserve">Only Austin was confirmed. Are Lawrence 2014–18, Chicago 2018–19, Milan 2019–21 and Dallas 2021–25 right?</t>
  </si>
  <si>
    <t xml:space="preserve">P2–P5</t>
  </si>
  <si>
    <t xml:space="preserve">Yes (and Wilmette before Lawrence)</t>
  </si>
  <si>
    <t xml:space="preserve">Enovis budget: you changed it to &gt;$20M; your resume still says &gt;$10M.</t>
  </si>
  <si>
    <t xml:space="preserve">E1, resume</t>
  </si>
  <si>
    <t xml:space="preserve">$10M is fine: reverted to &gt;$10M</t>
  </si>
  <si>
    <t xml:space="preserve">Factory digital twin (A14): what does it model, what is it built with, when, is there a link or screenshots, and is it personal or tied to an employer?</t>
  </si>
  <si>
    <t xml:space="preserve">A14, Apps</t>
  </si>
  <si>
    <t xml:space="preserve">About is now a calendar wheel (rings = year, angle = month). Start months for: KU, piano-pedal device, Formula SAE, MAPEI SpA, MAPEI Corp (Chicago and Dallas), OnlyChargeEV, the facility build-out. Only Enovis (April 2025) is known; the rest are placeholders.</t>
  </si>
  <si>
    <t xml:space="preserve">Races: was the Austin Marathon the full 26.2 or the half? Which month was IRONMAN 70.3 Texas (April is the placeholder)?</t>
  </si>
  <si>
    <t xml:space="preserve">Austin Marathon: the full 26.2. IRONMAN month still open (April placeholder).</t>
  </si>
  <si>
    <t xml:space="preserve">Origin card (click "Grant" in About): which email should it show? (The repo is public, so the address will be visible to scrapers; a forwarding address is an option.) Also: send the headshot, and edit the two draft sentences if you like.</t>
  </si>
  <si>
    <t xml:space="preserve">About, contact</t>
  </si>
  <si>
    <t xml:space="preserve">Liquid admixtures plant (E7): can you send its 3D model (GLB, like the dry mix plant) or snapshots? It would get the same live model, still and About turntable.</t>
  </si>
  <si>
    <t xml:space="preserve">E7, 3D models</t>
  </si>
  <si>
    <t xml:space="preserve">Same facility as the dry mix plant: the MAPEI Houston model (v12) is used for it, with the plant building lit.</t>
  </si>
  <si>
    <t xml:space="preserve">The dry mix plant now sits in About (2022 ring, March placeholder) so its 3D tile can turn on hover. Keep it there, and which month did it start?</t>
  </si>
  <si>
    <t xml:space="preserve">E3, About</t>
  </si>
  <si>
    <t xml:space="preserve">MAPEI Houston zone names (v12): "Silo &amp; mixing tower", "Production &amp; warehouse" (packaging and the admixtures plant inside), "Offices", "Site". Rename any?</t>
  </si>
  <si>
    <t xml:space="preserve">E3, 3D model</t>
  </si>
  <si>
    <t xml:space="preserve">MPOC: your Pascal handoff traces the real floor plan (rooms, names, drawing references). The public repo only uses its proportions and block layout. Do you want the detailed layout shown on the site (it would be public)?</t>
  </si>
  <si>
    <t xml:space="preserve">E1, E2, 3D model</t>
  </si>
  <si>
    <t xml:space="preserve">MPOC: where is the additive &amp; subtractive manufacturing lab? It is placed at the east end, behind the offices, as a guess.</t>
  </si>
  <si>
    <t xml:space="preserve">E2, 3D model</t>
  </si>
  <si>
    <t xml:space="preserve">MAPEI Houston: where inside the building is the liquid admixtures plant (and any outdoor tanks)? It could get its own zone.</t>
  </si>
  <si>
    <t xml:space="preserve">E7, 3D model</t>
  </si>
  <si>
    <t xml:space="preserve">Clean pack &amp; sterilization: should it be its own project tile (it would open the MPOC model with that zone lit), or stay part of the facility build-out?</t>
  </si>
  <si>
    <t xml:space="preserve">E1, 3D model</t>
  </si>
</sst>
</file>

<file path=xl/styles.xml><?xml version="1.0" encoding="utf-8"?>
<styleSheet xmlns="http://schemas.openxmlformats.org/spreadsheetml/2006/main">
  <numFmts count="2">
    <numFmt numFmtId="164" formatCode="General"/>
    <numFmt numFmtId="165" formatCode="General"/>
  </numFmts>
  <fonts count="1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1"/>
      <color rgb="FFC2552D"/>
      <name val="Arial"/>
      <family val="0"/>
      <charset val="1"/>
    </font>
    <font>
      <b val="true"/>
      <sz val="10"/>
      <name val="Arial"/>
      <family val="0"/>
      <charset val="1"/>
    </font>
    <font>
      <b val="true"/>
      <sz val="10"/>
      <color rgb="FFFFFFFF"/>
      <name val="Arial"/>
      <family val="0"/>
      <charset val="1"/>
    </font>
    <font>
      <b val="true"/>
      <sz val="12"/>
      <color rgb="FFC2552D"/>
      <name val="Arial"/>
      <family val="0"/>
      <charset val="1"/>
    </font>
    <font>
      <b val="true"/>
      <sz val="12"/>
      <color rgb="FFE0362C"/>
      <name val="Arial"/>
      <family val="0"/>
      <charset val="1"/>
    </font>
    <font>
      <b val="true"/>
      <sz val="12"/>
      <color rgb="FF2D5B88"/>
      <name val="Arial"/>
      <family val="0"/>
      <charset val="1"/>
    </font>
    <font>
      <b val="true"/>
      <sz val="12"/>
      <color rgb="FFFF6A1A"/>
      <name val="Arial"/>
      <family val="0"/>
      <charset val="1"/>
    </font>
    <font>
      <b val="true"/>
      <sz val="12"/>
      <color rgb="FF2FA36B"/>
      <name val="Arial"/>
      <family val="0"/>
      <charset val="1"/>
    </font>
    <font>
      <b val="true"/>
      <sz val="12"/>
      <color rgb="FFB8913F"/>
      <name val="Arial"/>
      <family val="0"/>
      <charset val="1"/>
    </font>
    <font>
      <u val="single"/>
      <sz val="10"/>
      <color rgb="FF0563C1"/>
      <name val="Arial"/>
      <family val="0"/>
      <charset val="1"/>
    </font>
    <font>
      <sz val="10"/>
      <name val="Arial"/>
      <family val="2"/>
    </font>
    <font>
      <sz val="10"/>
      <color rgb="FF0000FF"/>
      <name val="Arial"/>
      <family val="0"/>
      <charset val="1"/>
    </font>
    <font>
      <sz val="9"/>
      <color rgb="FF6F6C66"/>
      <name val="Arial"/>
      <family val="0"/>
      <charset val="1"/>
    </font>
  </fonts>
  <fills count="11">
    <fill>
      <patternFill patternType="none"/>
    </fill>
    <fill>
      <patternFill patternType="gray125"/>
    </fill>
    <fill>
      <patternFill patternType="solid">
        <fgColor rgb="FF1F1D1A"/>
        <bgColor rgb="FF333300"/>
      </patternFill>
    </fill>
    <fill>
      <patternFill patternType="solid">
        <fgColor rgb="FFC2552D"/>
        <bgColor rgb="FFE0362C"/>
      </patternFill>
    </fill>
    <fill>
      <patternFill patternType="solid">
        <fgColor rgb="FFE0362C"/>
        <bgColor rgb="FFC2552D"/>
      </patternFill>
    </fill>
    <fill>
      <patternFill patternType="solid">
        <fgColor rgb="FFFF6A1A"/>
        <bgColor rgb="FFFF9900"/>
      </patternFill>
    </fill>
    <fill>
      <patternFill patternType="solid">
        <fgColor rgb="FFB8913F"/>
        <bgColor rgb="FF808000"/>
      </patternFill>
    </fill>
    <fill>
      <patternFill patternType="solid">
        <fgColor rgb="FF2D5B88"/>
        <bgColor rgb="FF0563C1"/>
      </patternFill>
    </fill>
    <fill>
      <patternFill patternType="solid">
        <fgColor rgb="FF2FA36B"/>
        <bgColor rgb="FF008080"/>
      </patternFill>
    </fill>
    <fill>
      <patternFill patternType="solid">
        <fgColor rgb="FFECE8E1"/>
        <bgColor rgb="FFFFF6D6"/>
      </patternFill>
    </fill>
    <fill>
      <patternFill patternType="solid">
        <fgColor rgb="FFFFF6D6"/>
        <bgColor rgb="FFFFFFFF"/>
      </patternFill>
    </fill>
  </fills>
  <borders count="2">
    <border diagonalUp="false" diagonalDown="false">
      <left/>
      <right/>
      <top/>
      <bottom/>
      <diagonal/>
    </border>
    <border diagonalUp="false" diagonalDown="false">
      <left/>
      <right/>
      <top/>
      <bottom style="thin">
        <color rgb="FFD9D4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true" indent="0" shrinkToFit="false"/>
      <protection locked="true" hidden="false"/>
    </xf>
    <xf numFmtId="164" fontId="8" fillId="3" borderId="0" xfId="0" applyFont="true" applyBorder="false" applyAlignment="true" applyProtection="false">
      <alignment horizontal="center" vertical="center" textRotation="0" wrapText="true" indent="0" shrinkToFit="false"/>
      <protection locked="true" hidden="false"/>
    </xf>
    <xf numFmtId="164" fontId="8" fillId="4" borderId="0" xfId="0" applyFont="true" applyBorder="false" applyAlignment="true" applyProtection="false">
      <alignment horizontal="center" vertical="center" textRotation="0" wrapText="true" indent="0" shrinkToFit="false"/>
      <protection locked="true" hidden="false"/>
    </xf>
    <xf numFmtId="164" fontId="8" fillId="5" borderId="0" xfId="0" applyFont="true" applyBorder="false" applyAlignment="true" applyProtection="false">
      <alignment horizontal="center" vertical="center" textRotation="0" wrapText="true" indent="0" shrinkToFit="false"/>
      <protection locked="true" hidden="false"/>
    </xf>
    <xf numFmtId="164" fontId="8" fillId="6" borderId="0" xfId="0" applyFont="true" applyBorder="false" applyAlignment="true" applyProtection="false">
      <alignment horizontal="center" vertical="center" textRotation="0" wrapText="true" indent="0" shrinkToFit="false"/>
      <protection locked="true" hidden="false"/>
    </xf>
    <xf numFmtId="164" fontId="8" fillId="7" borderId="0" xfId="0" applyFont="true" applyBorder="false" applyAlignment="true" applyProtection="false">
      <alignment horizontal="center" vertical="center" textRotation="0" wrapText="true" indent="0" shrinkToFit="false"/>
      <protection locked="true" hidden="false"/>
    </xf>
    <xf numFmtId="164" fontId="8" fillId="8" borderId="0" xfId="0" applyFont="true" applyBorder="false" applyAlignment="true" applyProtection="false">
      <alignment horizontal="center" vertical="center" textRotation="0" wrapText="true" indent="0" shrinkToFit="false"/>
      <protection locked="true" hidden="false"/>
    </xf>
    <xf numFmtId="164" fontId="7" fillId="9" borderId="0" xfId="0" applyFont="true" applyBorder="false" applyAlignment="true" applyProtection="false">
      <alignment horizontal="general" vertical="bottom" textRotation="0" wrapText="false" indent="0" shrinkToFit="false"/>
      <protection locked="true" hidden="false"/>
    </xf>
    <xf numFmtId="164" fontId="0" fillId="9" borderId="0" xfId="0" applyFont="fals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10" borderId="1" xfId="0" applyFont="true" applyBorder="true" applyAlignment="true" applyProtection="false">
      <alignment horizontal="center" vertical="top" textRotation="0" wrapText="false" indent="0" shrinkToFit="false"/>
      <protection locked="true" hidden="false"/>
    </xf>
    <xf numFmtId="164" fontId="10"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center" vertical="top" textRotation="0" wrapText="false" indent="0" shrinkToFit="false"/>
      <protection locked="true" hidden="false"/>
    </xf>
    <xf numFmtId="164" fontId="5" fillId="10" borderId="1" xfId="0" applyFont="true" applyBorder="true" applyAlignment="true" applyProtection="false">
      <alignment horizontal="general" vertical="top" textRotation="0" wrapText="true" indent="0" shrinkToFit="false"/>
      <protection locked="true" hidden="false"/>
    </xf>
    <xf numFmtId="164" fontId="11" fillId="10" borderId="1" xfId="0" applyFont="true" applyBorder="true" applyAlignment="true" applyProtection="false">
      <alignment horizontal="center" vertical="top" textRotation="0" wrapText="false" indent="0" shrinkToFit="false"/>
      <protection locked="true" hidden="false"/>
    </xf>
    <xf numFmtId="164" fontId="12" fillId="10" borderId="1" xfId="0" applyFont="true" applyBorder="true" applyAlignment="true" applyProtection="false">
      <alignment horizontal="center" vertical="top" textRotation="0" wrapText="false" indent="0" shrinkToFit="false"/>
      <protection locked="true" hidden="false"/>
    </xf>
    <xf numFmtId="164" fontId="13" fillId="10" borderId="1" xfId="0" applyFont="true" applyBorder="true" applyAlignment="true" applyProtection="false">
      <alignment horizontal="center" vertical="top" textRotation="0" wrapText="false" indent="0" shrinkToFit="false"/>
      <protection locked="true" hidden="false"/>
    </xf>
    <xf numFmtId="164" fontId="14" fillId="10" borderId="1" xfId="0" applyFont="true" applyBorder="true" applyAlignment="true" applyProtection="false">
      <alignment horizontal="center" vertical="top" textRotation="0" wrapText="fals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5" fillId="1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1D1A"/>
          <bgColor rgb="FF000000"/>
        </patternFill>
      </fill>
    </dxf>
    <dxf>
      <fill>
        <patternFill patternType="solid">
          <fgColor rgb="FFECE8E1"/>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563C1"/>
          <bgColor rgb="FF000000"/>
        </patternFill>
      </fill>
    </dxf>
    <dxf>
      <fill>
        <patternFill patternType="solid">
          <fgColor rgb="FFC2552D"/>
          <bgColor rgb="FF000000"/>
        </patternFill>
      </fill>
    </dxf>
    <dxf>
      <fill>
        <patternFill patternType="solid">
          <fgColor rgb="FFFFF6D6"/>
          <bgColor rgb="FF000000"/>
        </patternFill>
      </fill>
    </dxf>
    <dxf>
      <fill>
        <patternFill patternType="solid">
          <fgColor rgb="FFE0362C"/>
          <bgColor rgb="FF000000"/>
        </patternFill>
      </fill>
    </dxf>
    <dxf>
      <fill>
        <patternFill patternType="solid">
          <fgColor rgb="FFFF6A1A"/>
          <bgColor rgb="FF000000"/>
        </patternFill>
      </fill>
    </dxf>
    <dxf>
      <fill>
        <patternFill patternType="solid">
          <fgColor rgb="FFB8913F"/>
          <bgColor rgb="FF000000"/>
        </patternFill>
      </fill>
    </dxf>
    <dxf>
      <fill>
        <patternFill patternType="solid">
          <fgColor rgb="FF2D5B88"/>
          <bgColor rgb="FF000000"/>
        </patternFill>
      </fill>
    </dxf>
    <dxf>
      <fill>
        <patternFill patternType="solid">
          <fgColor rgb="FF2FA36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E0362C"/>
      <rgbColor rgb="FFFFF6D6"/>
      <rgbColor rgb="FFCCFFFF"/>
      <rgbColor rgb="FF660066"/>
      <rgbColor rgb="FFFF8080"/>
      <rgbColor rgb="FF0563C1"/>
      <rgbColor rgb="FFD9D4CA"/>
      <rgbColor rgb="FF000080"/>
      <rgbColor rgb="FFFF00FF"/>
      <rgbColor rgb="FFFFFF00"/>
      <rgbColor rgb="FF00FFFF"/>
      <rgbColor rgb="FF800080"/>
      <rgbColor rgb="FF800000"/>
      <rgbColor rgb="FF008080"/>
      <rgbColor rgb="FF0000FF"/>
      <rgbColor rgb="FF00CCFF"/>
      <rgbColor rgb="FFCCFFFF"/>
      <rgbColor rgb="FFECE8E1"/>
      <rgbColor rgb="FFFFFF99"/>
      <rgbColor rgb="FF99CCFF"/>
      <rgbColor rgb="FFFF99CC"/>
      <rgbColor rgb="FFCC99FF"/>
      <rgbColor rgb="FFFFCC99"/>
      <rgbColor rgb="FF3366FF"/>
      <rgbColor rgb="FF33CCCC"/>
      <rgbColor rgb="FF99CC00"/>
      <rgbColor rgb="FFFFCC00"/>
      <rgbColor rgb="FFFF9900"/>
      <rgbColor rgb="FFFF6A1A"/>
      <rgbColor rgb="FF6F6C66"/>
      <rgbColor rgb="FFB8913F"/>
      <rgbColor rgb="FF003366"/>
      <rgbColor rgb="FF2FA36B"/>
      <rgbColor rgb="FF003300"/>
      <rgbColor rgb="FF333300"/>
      <rgbColor rgb="FFC2552D"/>
      <rgbColor rgb="FF993366"/>
      <rgbColor rgb="FF2D5B88"/>
      <rgbColor rgb="FF1F1D1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contact-flow-web.vercel.app/" TargetMode="External"/><Relationship Id="rId3" Type="http://schemas.openxmlformats.org/officeDocument/2006/relationships/hyperlink" Target="https://job-paper.vercel.app/" TargetMode="External"/><Relationship Id="rId4" Type="http://schemas.openxmlformats.org/officeDocument/2006/relationships/hyperlink" Target="https://collateral-damage.vercel.app/" TargetMode="External"/><Relationship Id="rId5" Type="http://schemas.openxmlformats.org/officeDocument/2006/relationships/hyperlink" Target="https://jaylee-app.vercel.app/" TargetMode="External"/><Relationship Id="rId6" Type="http://schemas.openxmlformats.org/officeDocument/2006/relationships/hyperlink" Target="https://gradient-ui.vercel.app/" TargetMode="External"/><Relationship Id="rId7" Type="http://schemas.openxmlformats.org/officeDocument/2006/relationships/hyperlink" Target="https://gold-star-man.vercel.app/" TargetMode="External"/><Relationship Id="rId8" Type="http://schemas.openxmlformats.org/officeDocument/2006/relationships/hyperlink" Target="https://luminous-horse-8a5278.netlify.app/" TargetMode="External"/><Relationship Id="rId9" Type="http://schemas.openxmlformats.org/officeDocument/2006/relationships/hyperlink" Target="https://strong-paletas-d76f45.netlify.app/" TargetMode="External"/><Relationship Id="rId10" Type="http://schemas.openxmlformats.org/officeDocument/2006/relationships/drawing" Target="../drawings/drawing1.xml"/><Relationship Id="rId11"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28125" defaultRowHeight="14.25" zeroHeight="false" outlineLevelRow="0" outlineLevelCol="0"/>
  <cols>
    <col collapsed="false" customWidth="true" hidden="false" outlineLevel="0" max="1" min="1" style="1" width="120"/>
  </cols>
  <sheetData>
    <row r="1" customFormat="false" ht="18" hidden="false" customHeight="true" outlineLevel="0" collapsed="false">
      <c r="A1" s="2" t="s">
        <v>0</v>
      </c>
    </row>
    <row r="2" customFormat="false" ht="14.25" hidden="false" customHeight="true" outlineLevel="0" collapsed="false">
      <c r="A2" s="3" t="s">
        <v>1</v>
      </c>
    </row>
    <row r="3" customFormat="false" ht="14.25" hidden="false" customHeight="true" outlineLevel="0" collapsed="false">
      <c r="A3" s="4" t="s">
        <v>2</v>
      </c>
    </row>
    <row r="4" customFormat="false" ht="23.25" hidden="false" customHeight="true" outlineLevel="0" collapsed="false">
      <c r="A4" s="3" t="s">
        <v>3</v>
      </c>
    </row>
    <row r="5" customFormat="false" ht="23.25" hidden="false" customHeight="true" outlineLevel="0" collapsed="false">
      <c r="A5" s="3" t="s">
        <v>4</v>
      </c>
    </row>
    <row r="6" customFormat="false" ht="14.25" hidden="false" customHeight="true" outlineLevel="0" collapsed="false">
      <c r="A6" s="3" t="s">
        <v>5</v>
      </c>
    </row>
    <row r="7" customFormat="false" ht="23.25" hidden="false" customHeight="true" outlineLevel="0" collapsed="false">
      <c r="A7" s="3" t="s">
        <v>6</v>
      </c>
    </row>
    <row r="9" customFormat="false" ht="14.25" hidden="false" customHeight="true" outlineLevel="0" collapsed="false">
      <c r="A9" s="3"/>
    </row>
    <row r="10" customFormat="false" ht="14.25" hidden="false" customHeight="true" outlineLevel="0" collapsed="false">
      <c r="A10" s="5" t="s">
        <v>7</v>
      </c>
    </row>
    <row r="11" customFormat="false" ht="14.25" hidden="false" customHeight="true" outlineLevel="0" collapsed="false">
      <c r="A11" s="3" t="s">
        <v>8</v>
      </c>
    </row>
    <row r="12" customFormat="false" ht="14.25" hidden="false" customHeight="true" outlineLevel="0" collapsed="false">
      <c r="A12" s="3" t="s">
        <v>9</v>
      </c>
    </row>
    <row r="13" customFormat="false" ht="14.25" hidden="false" customHeight="true" outlineLevel="0" collapsed="false">
      <c r="A13" s="3" t="s">
        <v>10</v>
      </c>
    </row>
    <row r="14" customFormat="false" ht="14.25" hidden="false" customHeight="true" outlineLevel="0" collapsed="false">
      <c r="A14" s="3" t="s">
        <v>11</v>
      </c>
    </row>
    <row r="15" customFormat="false" ht="14.25" hidden="false" customHeight="true" outlineLevel="0" collapsed="false">
      <c r="A15" s="3" t="s">
        <v>12</v>
      </c>
    </row>
    <row r="16" customFormat="false" ht="14.25" hidden="false" customHeight="true" outlineLevel="0" collapsed="false">
      <c r="A16" s="3" t="s">
        <v>13</v>
      </c>
    </row>
    <row r="17" customFormat="false" ht="14.25" hidden="false" customHeight="true" outlineLevel="0" collapsed="false">
      <c r="A17" s="3" t="s">
        <v>14</v>
      </c>
    </row>
    <row r="18" customFormat="false" ht="14.25" hidden="false" customHeight="true" outlineLevel="0" collapsed="false">
      <c r="A18" s="3"/>
    </row>
    <row r="19" customFormat="false" ht="14.25" hidden="false" customHeight="true" outlineLevel="0" collapsed="false">
      <c r="A19" s="5" t="s">
        <v>15</v>
      </c>
    </row>
    <row r="20" customFormat="false" ht="14.25" hidden="false" customHeight="true" outlineLevel="0" collapsed="false">
      <c r="A20" s="3" t="s">
        <v>16</v>
      </c>
    </row>
    <row r="21" customFormat="false" ht="14.25" hidden="false" customHeight="true" outlineLevel="0" collapsed="false">
      <c r="A21" s="3" t="s">
        <v>17</v>
      </c>
    </row>
    <row r="22" customFormat="false" ht="24.75" hidden="false" customHeight="true" outlineLevel="0" collapsed="false">
      <c r="A22" s="3" t="s">
        <v>18</v>
      </c>
    </row>
    <row r="23" customFormat="false" ht="14.25" hidden="false" customHeight="true" outlineLevel="0" collapsed="false">
      <c r="A23" s="3" t="s">
        <v>19</v>
      </c>
    </row>
    <row r="24" customFormat="false" ht="14.25" hidden="false" customHeight="true" outlineLevel="0" collapsed="false">
      <c r="A24" s="3"/>
    </row>
    <row r="25" customFormat="false" ht="14.25" hidden="false" customHeight="true" outlineLevel="0" collapsed="false">
      <c r="A25" s="5" t="s">
        <v>20</v>
      </c>
    </row>
    <row r="26" customFormat="false" ht="14.25" hidden="false" customHeight="true" outlineLevel="0" collapsed="false">
      <c r="A26" s="3" t="s">
        <v>21</v>
      </c>
    </row>
    <row r="27" customFormat="false" ht="14.25" hidden="false" customHeight="true" outlineLevel="0" collapsed="false">
      <c r="A27" s="3"/>
    </row>
    <row r="28" customFormat="false" ht="23.25" hidden="false" customHeight="true" outlineLevel="0" collapsed="false">
      <c r="A28" s="5" t="s">
        <v>22</v>
      </c>
    </row>
    <row r="29" customFormat="false" ht="23.25" hidden="false" customHeight="true" outlineLevel="0" collapsed="false">
      <c r="A29" s="3" t="s">
        <v>23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65"/>
  <sheetViews>
    <sheetView showFormulas="false" showGridLines="true" showRowColHeaders="true" showZeros="true" rightToLeft="false" tabSelected="false" showOutlineSymbols="true" defaultGridColor="true" view="normal" topLeftCell="A1" colorId="64" zoomScale="89" zoomScaleNormal="89" zoomScalePageLayoutView="100" workbookViewId="0">
      <pane xSplit="2" ySplit="1" topLeftCell="K35" activePane="bottomRight" state="frozen"/>
      <selection pane="topLeft" activeCell="A1" activeCellId="0" sqref="A1"/>
      <selection pane="topRight" activeCell="K1" activeCellId="0" sqref="K1"/>
      <selection pane="bottomLeft" activeCell="A35" activeCellId="0" sqref="A35"/>
      <selection pane="bottomRight" activeCell="I48" activeCellId="0" sqref="I48"/>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0"/>
    <col collapsed="false" customWidth="true" hidden="false" outlineLevel="0" max="3" min="3" style="1" width="15"/>
    <col collapsed="false" customWidth="true" hidden="false" outlineLevel="0" max="4" min="4" style="1" width="22"/>
    <col collapsed="false" customWidth="true" hidden="false" outlineLevel="0" max="5" min="5" style="1" width="18"/>
    <col collapsed="false" customWidth="true" hidden="false" outlineLevel="0" max="7" min="6" style="1" width="9"/>
    <col collapsed="false" customWidth="true" hidden="false" outlineLevel="0" max="9" min="8" style="1" width="46"/>
    <col collapsed="false" customWidth="true" hidden="false" outlineLevel="0" max="10" min="10" style="1" width="30"/>
    <col collapsed="false" customWidth="true" hidden="false" outlineLevel="0" max="11" min="11" style="1" width="26"/>
    <col collapsed="false" customWidth="true" hidden="false" outlineLevel="0" max="12" min="12" style="1" width="8"/>
    <col collapsed="false" customWidth="true" hidden="false" outlineLevel="0" max="13" min="13" style="1" width="11"/>
    <col collapsed="false" customWidth="true" hidden="false" outlineLevel="0" max="14" min="14" style="1" width="9"/>
    <col collapsed="false" customWidth="true" hidden="false" outlineLevel="0" max="15" min="15" style="1" width="7"/>
    <col collapsed="false" customWidth="true" hidden="false" outlineLevel="0" max="16" min="16" style="1" width="8"/>
    <col collapsed="false" customWidth="true" hidden="false" outlineLevel="0" max="17" min="17" style="1" width="7"/>
    <col collapsed="false" customWidth="true" hidden="false" outlineLevel="0" max="18" min="18" style="1" width="10"/>
    <col collapsed="false" customWidth="true" hidden="false" outlineLevel="0" max="19" min="19" style="1" width="22"/>
    <col collapsed="false" customWidth="true" hidden="false" outlineLevel="0" max="20" min="20" style="1" width="18"/>
    <col collapsed="false" customWidth="true" hidden="false" outlineLevel="0" max="21" min="21" style="1" width="26"/>
    <col collapsed="false" customWidth="true" hidden="false" outlineLevel="0" max="22" min="22" style="1" width="36"/>
    <col collapsed="false" customWidth="true" hidden="false" outlineLevel="0" max="23" min="23" style="1" width="18"/>
  </cols>
  <sheetData>
    <row r="1" customFormat="false" ht="30" hidden="false" customHeight="true" outlineLevel="0" collapsed="false">
      <c r="A1" s="6" t="s">
        <v>24</v>
      </c>
      <c r="B1" s="6" t="s">
        <v>25</v>
      </c>
      <c r="C1" s="6" t="s">
        <v>26</v>
      </c>
      <c r="D1" s="6" t="s">
        <v>27</v>
      </c>
      <c r="E1" s="6" t="s">
        <v>28</v>
      </c>
      <c r="F1" s="6" t="s">
        <v>29</v>
      </c>
      <c r="G1" s="6" t="s">
        <v>30</v>
      </c>
      <c r="H1" s="6" t="s">
        <v>31</v>
      </c>
      <c r="I1" s="6" t="s">
        <v>32</v>
      </c>
      <c r="J1" s="6" t="s">
        <v>33</v>
      </c>
      <c r="K1" s="6" t="s">
        <v>34</v>
      </c>
      <c r="L1" s="7" t="s">
        <v>35</v>
      </c>
      <c r="M1" s="8" t="s">
        <v>36</v>
      </c>
      <c r="N1" s="9" t="s">
        <v>37</v>
      </c>
      <c r="O1" s="10" t="s">
        <v>38</v>
      </c>
      <c r="P1" s="11" t="s">
        <v>39</v>
      </c>
      <c r="Q1" s="12" t="s">
        <v>40</v>
      </c>
      <c r="R1" s="6" t="s">
        <v>41</v>
      </c>
      <c r="S1" s="6" t="s">
        <v>42</v>
      </c>
      <c r="T1" s="6" t="s">
        <v>43</v>
      </c>
      <c r="U1" s="6" t="s">
        <v>44</v>
      </c>
      <c r="V1" s="6" t="s">
        <v>45</v>
      </c>
      <c r="W1" s="6" t="s">
        <v>46</v>
      </c>
    </row>
    <row r="2" customFormat="false" ht="14.25" hidden="false" customHeight="true" outlineLevel="0" collapsed="false">
      <c r="A2" s="13" t="s">
        <v>47</v>
      </c>
      <c r="B2" s="14"/>
      <c r="C2" s="14"/>
      <c r="D2" s="14"/>
      <c r="E2" s="14"/>
      <c r="F2" s="14"/>
      <c r="G2" s="14"/>
      <c r="H2" s="14"/>
      <c r="I2" s="14"/>
      <c r="J2" s="14"/>
      <c r="K2" s="14"/>
      <c r="L2" s="14"/>
      <c r="M2" s="14"/>
      <c r="N2" s="14"/>
      <c r="O2" s="14"/>
      <c r="P2" s="14"/>
      <c r="Q2" s="14"/>
      <c r="R2" s="14"/>
      <c r="S2" s="14"/>
      <c r="T2" s="14"/>
      <c r="U2" s="14"/>
      <c r="V2" s="14"/>
      <c r="W2" s="14"/>
    </row>
    <row r="3" customFormat="false" ht="39" hidden="false" customHeight="true" outlineLevel="0" collapsed="false">
      <c r="A3" s="15" t="s">
        <v>48</v>
      </c>
      <c r="B3" s="16" t="s">
        <v>49</v>
      </c>
      <c r="C3" s="17" t="s">
        <v>50</v>
      </c>
      <c r="D3" s="17" t="s">
        <v>51</v>
      </c>
      <c r="E3" s="17" t="s">
        <v>52</v>
      </c>
      <c r="F3" s="15" t="s">
        <v>53</v>
      </c>
      <c r="G3" s="15" t="s">
        <v>54</v>
      </c>
      <c r="H3" s="17" t="s">
        <v>55</v>
      </c>
      <c r="I3" s="17" t="s">
        <v>56</v>
      </c>
      <c r="J3" s="17" t="s">
        <v>57</v>
      </c>
      <c r="K3" s="17"/>
      <c r="L3" s="18" t="s">
        <v>58</v>
      </c>
      <c r="M3" s="19" t="s">
        <v>59</v>
      </c>
      <c r="N3" s="20"/>
      <c r="O3" s="20"/>
      <c r="P3" s="20"/>
      <c r="Q3" s="20"/>
      <c r="R3" s="20" t="s">
        <v>60</v>
      </c>
      <c r="S3" s="17" t="s">
        <v>61</v>
      </c>
      <c r="T3" s="17" t="s">
        <v>62</v>
      </c>
      <c r="U3" s="17" t="s">
        <v>63</v>
      </c>
      <c r="V3" s="21" t="s">
        <v>64</v>
      </c>
      <c r="W3" s="17" t="s">
        <v>65</v>
      </c>
    </row>
    <row r="4" customFormat="false" ht="25.5" hidden="false" customHeight="true" outlineLevel="0" collapsed="false">
      <c r="A4" s="15" t="s">
        <v>66</v>
      </c>
      <c r="B4" s="16" t="s">
        <v>67</v>
      </c>
      <c r="C4" s="17" t="s">
        <v>50</v>
      </c>
      <c r="D4" s="17" t="s">
        <v>68</v>
      </c>
      <c r="E4" s="17" t="s">
        <v>69</v>
      </c>
      <c r="F4" s="15" t="s">
        <v>70</v>
      </c>
      <c r="G4" s="15" t="s">
        <v>71</v>
      </c>
      <c r="H4" s="17" t="s">
        <v>72</v>
      </c>
      <c r="I4" s="17" t="s">
        <v>73</v>
      </c>
      <c r="J4" s="17" t="s">
        <v>74</v>
      </c>
      <c r="K4" s="17"/>
      <c r="L4" s="18" t="s">
        <v>58</v>
      </c>
      <c r="M4" s="19" t="s">
        <v>59</v>
      </c>
      <c r="N4" s="20"/>
      <c r="O4" s="20"/>
      <c r="P4" s="20"/>
      <c r="Q4" s="20"/>
      <c r="R4" s="20" t="s">
        <v>60</v>
      </c>
      <c r="S4" s="17" t="s">
        <v>61</v>
      </c>
      <c r="T4" s="17" t="s">
        <v>62</v>
      </c>
      <c r="U4" s="17" t="s">
        <v>75</v>
      </c>
      <c r="V4" s="21" t="s">
        <v>76</v>
      </c>
      <c r="W4" s="17" t="s">
        <v>65</v>
      </c>
    </row>
    <row r="5" customFormat="false" ht="24.75" hidden="false" customHeight="true" outlineLevel="0" collapsed="false">
      <c r="A5" s="15" t="s">
        <v>77</v>
      </c>
      <c r="B5" s="16" t="s">
        <v>78</v>
      </c>
      <c r="C5" s="17" t="s">
        <v>50</v>
      </c>
      <c r="D5" s="17" t="s">
        <v>79</v>
      </c>
      <c r="E5" s="17" t="s">
        <v>80</v>
      </c>
      <c r="F5" s="15" t="s">
        <v>81</v>
      </c>
      <c r="G5" s="15" t="s">
        <v>70</v>
      </c>
      <c r="H5" s="17" t="s">
        <v>82</v>
      </c>
      <c r="I5" s="17" t="s">
        <v>83</v>
      </c>
      <c r="J5" s="17"/>
      <c r="K5" s="17"/>
      <c r="L5" s="18" t="s">
        <v>58</v>
      </c>
      <c r="M5" s="19" t="s">
        <v>59</v>
      </c>
      <c r="N5" s="20"/>
      <c r="O5" s="20"/>
      <c r="P5" s="22" t="s">
        <v>59</v>
      </c>
      <c r="Q5" s="20"/>
      <c r="R5" s="20" t="s">
        <v>60</v>
      </c>
      <c r="S5" s="17" t="s">
        <v>84</v>
      </c>
      <c r="T5" s="17" t="s">
        <v>62</v>
      </c>
      <c r="U5" s="17" t="s">
        <v>85</v>
      </c>
      <c r="V5" s="21" t="s">
        <v>86</v>
      </c>
      <c r="W5" s="17" t="s">
        <v>65</v>
      </c>
    </row>
    <row r="6" customFormat="false" ht="25.5" hidden="false" customHeight="true" outlineLevel="0" collapsed="false">
      <c r="A6" s="15" t="s">
        <v>87</v>
      </c>
      <c r="B6" s="16" t="s">
        <v>88</v>
      </c>
      <c r="C6" s="17" t="s">
        <v>50</v>
      </c>
      <c r="D6" s="17" t="s">
        <v>68</v>
      </c>
      <c r="E6" s="17" t="s">
        <v>89</v>
      </c>
      <c r="F6" s="15" t="s">
        <v>90</v>
      </c>
      <c r="G6" s="15" t="s">
        <v>81</v>
      </c>
      <c r="H6" s="17" t="s">
        <v>91</v>
      </c>
      <c r="I6" s="17" t="s">
        <v>92</v>
      </c>
      <c r="J6" s="17"/>
      <c r="K6" s="17"/>
      <c r="L6" s="18" t="s">
        <v>58</v>
      </c>
      <c r="M6" s="20"/>
      <c r="N6" s="20"/>
      <c r="O6" s="20"/>
      <c r="P6" s="20"/>
      <c r="Q6" s="20"/>
      <c r="R6" s="20" t="s">
        <v>62</v>
      </c>
      <c r="S6" s="17" t="s">
        <v>61</v>
      </c>
      <c r="T6" s="17" t="s">
        <v>62</v>
      </c>
      <c r="U6" s="17" t="s">
        <v>85</v>
      </c>
      <c r="V6" s="21" t="s">
        <v>93</v>
      </c>
      <c r="W6" s="17" t="s">
        <v>65</v>
      </c>
    </row>
    <row r="7" customFormat="false" ht="37.5" hidden="false" customHeight="true" outlineLevel="0" collapsed="false">
      <c r="A7" s="15" t="s">
        <v>94</v>
      </c>
      <c r="B7" s="16" t="s">
        <v>95</v>
      </c>
      <c r="C7" s="17" t="s">
        <v>50</v>
      </c>
      <c r="D7" s="17" t="s">
        <v>96</v>
      </c>
      <c r="E7" s="17" t="s">
        <v>89</v>
      </c>
      <c r="F7" s="15" t="s">
        <v>97</v>
      </c>
      <c r="G7" s="15" t="s">
        <v>97</v>
      </c>
      <c r="H7" s="17" t="s">
        <v>98</v>
      </c>
      <c r="I7" s="17" t="s">
        <v>99</v>
      </c>
      <c r="J7" s="17" t="s">
        <v>100</v>
      </c>
      <c r="K7" s="17"/>
      <c r="L7" s="18" t="s">
        <v>58</v>
      </c>
      <c r="M7" s="20"/>
      <c r="N7" s="20"/>
      <c r="O7" s="20"/>
      <c r="P7" s="20"/>
      <c r="Q7" s="20"/>
      <c r="R7" s="20" t="s">
        <v>62</v>
      </c>
      <c r="S7" s="17" t="s">
        <v>61</v>
      </c>
      <c r="T7" s="17" t="s">
        <v>62</v>
      </c>
      <c r="U7" s="17" t="s">
        <v>101</v>
      </c>
      <c r="V7" s="21" t="s">
        <v>102</v>
      </c>
      <c r="W7" s="17" t="s">
        <v>65</v>
      </c>
    </row>
    <row r="8" customFormat="false" ht="37.5" hidden="false" customHeight="true" outlineLevel="0" collapsed="false">
      <c r="A8" s="15" t="s">
        <v>103</v>
      </c>
      <c r="B8" s="16" t="s">
        <v>104</v>
      </c>
      <c r="C8" s="17" t="s">
        <v>105</v>
      </c>
      <c r="D8" s="17" t="s">
        <v>106</v>
      </c>
      <c r="E8" s="17" t="s">
        <v>107</v>
      </c>
      <c r="F8" s="15" t="s">
        <v>108</v>
      </c>
      <c r="G8" s="15" t="s">
        <v>90</v>
      </c>
      <c r="H8" s="17" t="s">
        <v>109</v>
      </c>
      <c r="I8" s="17" t="s">
        <v>110</v>
      </c>
      <c r="J8" s="17"/>
      <c r="K8" s="17"/>
      <c r="L8" s="18" t="s">
        <v>58</v>
      </c>
      <c r="M8" s="20"/>
      <c r="N8" s="20"/>
      <c r="O8" s="20"/>
      <c r="P8" s="22" t="s">
        <v>59</v>
      </c>
      <c r="Q8" s="20"/>
      <c r="R8" s="20" t="s">
        <v>60</v>
      </c>
      <c r="S8" s="17" t="s">
        <v>61</v>
      </c>
      <c r="T8" s="17" t="s">
        <v>62</v>
      </c>
      <c r="U8" s="17" t="s">
        <v>111</v>
      </c>
      <c r="V8" s="21"/>
      <c r="W8" s="17" t="s">
        <v>65</v>
      </c>
    </row>
    <row r="9" customFormat="false" ht="15" hidden="false" customHeight="true" outlineLevel="0" collapsed="false">
      <c r="A9" s="15" t="s">
        <v>112</v>
      </c>
      <c r="B9" s="16" t="s">
        <v>113</v>
      </c>
      <c r="C9" s="17" t="s">
        <v>114</v>
      </c>
      <c r="D9" s="17" t="s">
        <v>115</v>
      </c>
      <c r="E9" s="17"/>
      <c r="F9" s="15"/>
      <c r="G9" s="15"/>
      <c r="H9" s="17" t="s">
        <v>116</v>
      </c>
      <c r="I9" s="17"/>
      <c r="J9" s="17"/>
      <c r="K9" s="17"/>
      <c r="L9" s="18" t="s">
        <v>58</v>
      </c>
      <c r="M9" s="20"/>
      <c r="N9" s="20"/>
      <c r="O9" s="20"/>
      <c r="P9" s="20"/>
      <c r="Q9" s="20"/>
      <c r="R9" s="20" t="s">
        <v>62</v>
      </c>
      <c r="S9" s="17" t="s">
        <v>117</v>
      </c>
      <c r="T9" s="17" t="s">
        <v>62</v>
      </c>
      <c r="U9" s="17" t="s">
        <v>101</v>
      </c>
      <c r="V9" s="21" t="s">
        <v>118</v>
      </c>
      <c r="W9" s="17" t="s">
        <v>65</v>
      </c>
    </row>
    <row r="10" customFormat="false" ht="24.75" hidden="false" customHeight="true" outlineLevel="0" collapsed="false">
      <c r="A10" s="15" t="s">
        <v>119</v>
      </c>
      <c r="B10" s="16" t="s">
        <v>120</v>
      </c>
      <c r="C10" s="17" t="s">
        <v>121</v>
      </c>
      <c r="D10" s="17" t="s">
        <v>122</v>
      </c>
      <c r="E10" s="17"/>
      <c r="F10" s="15"/>
      <c r="G10" s="15"/>
      <c r="H10" s="17" t="s">
        <v>123</v>
      </c>
      <c r="I10" s="17"/>
      <c r="J10" s="17"/>
      <c r="K10" s="17"/>
      <c r="L10" s="18" t="s">
        <v>59</v>
      </c>
      <c r="M10" s="20"/>
      <c r="N10" s="20"/>
      <c r="O10" s="20"/>
      <c r="P10" s="20"/>
      <c r="Q10" s="20"/>
      <c r="R10" s="20" t="s">
        <v>62</v>
      </c>
      <c r="S10" s="17" t="s">
        <v>124</v>
      </c>
      <c r="T10" s="17" t="s">
        <v>62</v>
      </c>
      <c r="U10" s="17" t="s">
        <v>101</v>
      </c>
      <c r="V10" s="21" t="s">
        <v>118</v>
      </c>
      <c r="W10" s="17" t="s">
        <v>65</v>
      </c>
    </row>
    <row r="11" customFormat="false" ht="14.25" hidden="false" customHeight="true" outlineLevel="0" collapsed="false">
      <c r="A11" s="13" t="s">
        <v>125</v>
      </c>
      <c r="B11" s="14"/>
      <c r="C11" s="14"/>
      <c r="D11" s="14"/>
      <c r="E11" s="14"/>
      <c r="F11" s="14"/>
      <c r="G11" s="14"/>
      <c r="H11" s="14"/>
      <c r="I11" s="14"/>
      <c r="J11" s="14"/>
      <c r="K11" s="14"/>
      <c r="L11" s="14"/>
      <c r="M11" s="14"/>
      <c r="N11" s="14"/>
      <c r="O11" s="14"/>
      <c r="P11" s="14"/>
      <c r="Q11" s="14"/>
      <c r="R11" s="14"/>
      <c r="S11" s="14"/>
      <c r="T11" s="14"/>
      <c r="U11" s="14"/>
      <c r="V11" s="14"/>
      <c r="W11" s="14"/>
    </row>
    <row r="12" customFormat="false" ht="37.5" hidden="false" customHeight="true" outlineLevel="0" collapsed="false">
      <c r="A12" s="15" t="s">
        <v>126</v>
      </c>
      <c r="B12" s="16" t="s">
        <v>127</v>
      </c>
      <c r="C12" s="17" t="s">
        <v>128</v>
      </c>
      <c r="D12" s="17" t="s">
        <v>51</v>
      </c>
      <c r="E12" s="17" t="s">
        <v>52</v>
      </c>
      <c r="F12" s="15" t="s">
        <v>53</v>
      </c>
      <c r="G12" s="15" t="s">
        <v>54</v>
      </c>
      <c r="H12" s="17" t="s">
        <v>129</v>
      </c>
      <c r="I12" s="17" t="s">
        <v>130</v>
      </c>
      <c r="J12" s="17" t="s">
        <v>131</v>
      </c>
      <c r="K12" s="17"/>
      <c r="L12" s="18" t="s">
        <v>59</v>
      </c>
      <c r="M12" s="19" t="s">
        <v>58</v>
      </c>
      <c r="N12" s="20"/>
      <c r="O12" s="20"/>
      <c r="P12" s="22" t="s">
        <v>59</v>
      </c>
      <c r="Q12" s="20"/>
      <c r="R12" s="20" t="s">
        <v>60</v>
      </c>
      <c r="S12" s="17" t="s">
        <v>132</v>
      </c>
      <c r="T12" s="17" t="s">
        <v>133</v>
      </c>
      <c r="U12" s="17" t="s">
        <v>134</v>
      </c>
      <c r="V12" s="21" t="s">
        <v>135</v>
      </c>
      <c r="W12" s="17" t="s">
        <v>65</v>
      </c>
    </row>
    <row r="13" customFormat="false" ht="49.5" hidden="false" customHeight="true" outlineLevel="0" collapsed="false">
      <c r="A13" s="15" t="s">
        <v>136</v>
      </c>
      <c r="B13" s="16" t="s">
        <v>137</v>
      </c>
      <c r="C13" s="17" t="s">
        <v>128</v>
      </c>
      <c r="D13" s="17" t="s">
        <v>51</v>
      </c>
      <c r="E13" s="17" t="s">
        <v>52</v>
      </c>
      <c r="F13" s="15" t="s">
        <v>53</v>
      </c>
      <c r="G13" s="15" t="s">
        <v>54</v>
      </c>
      <c r="H13" s="17" t="s">
        <v>138</v>
      </c>
      <c r="I13" s="17" t="s">
        <v>139</v>
      </c>
      <c r="J13" s="17" t="s">
        <v>140</v>
      </c>
      <c r="K13" s="17"/>
      <c r="L13" s="20"/>
      <c r="M13" s="19" t="s">
        <v>58</v>
      </c>
      <c r="N13" s="23" t="s">
        <v>59</v>
      </c>
      <c r="O13" s="20"/>
      <c r="P13" s="20"/>
      <c r="Q13" s="20"/>
      <c r="R13" s="20" t="s">
        <v>60</v>
      </c>
      <c r="S13" s="17" t="s">
        <v>141</v>
      </c>
      <c r="T13" s="17" t="s">
        <v>142</v>
      </c>
      <c r="U13" s="17" t="s">
        <v>143</v>
      </c>
      <c r="V13" s="21" t="s">
        <v>144</v>
      </c>
      <c r="W13" s="17" t="s">
        <v>65</v>
      </c>
    </row>
    <row r="14" customFormat="false" ht="37.5" hidden="false" customHeight="true" outlineLevel="0" collapsed="false">
      <c r="A14" s="15" t="s">
        <v>145</v>
      </c>
      <c r="B14" s="16" t="s">
        <v>146</v>
      </c>
      <c r="C14" s="17" t="s">
        <v>128</v>
      </c>
      <c r="D14" s="17" t="s">
        <v>147</v>
      </c>
      <c r="E14" s="17" t="s">
        <v>148</v>
      </c>
      <c r="F14" s="15"/>
      <c r="G14" s="15"/>
      <c r="H14" s="17" t="s">
        <v>149</v>
      </c>
      <c r="I14" s="17" t="s">
        <v>150</v>
      </c>
      <c r="J14" s="17" t="s">
        <v>151</v>
      </c>
      <c r="K14" s="17"/>
      <c r="L14" s="18" t="s">
        <v>59</v>
      </c>
      <c r="M14" s="19" t="s">
        <v>58</v>
      </c>
      <c r="N14" s="23" t="s">
        <v>59</v>
      </c>
      <c r="O14" s="20"/>
      <c r="P14" s="22" t="s">
        <v>59</v>
      </c>
      <c r="Q14" s="20"/>
      <c r="R14" s="20" t="s">
        <v>60</v>
      </c>
      <c r="S14" s="17" t="s">
        <v>152</v>
      </c>
      <c r="T14" s="17" t="s">
        <v>153</v>
      </c>
      <c r="U14" s="17" t="s">
        <v>154</v>
      </c>
      <c r="V14" s="21" t="s">
        <v>155</v>
      </c>
      <c r="W14" s="17" t="s">
        <v>156</v>
      </c>
    </row>
    <row r="15" customFormat="false" ht="25.5" hidden="false" customHeight="true" outlineLevel="0" collapsed="false">
      <c r="A15" s="15" t="s">
        <v>157</v>
      </c>
      <c r="B15" s="16" t="s">
        <v>158</v>
      </c>
      <c r="C15" s="17" t="s">
        <v>128</v>
      </c>
      <c r="D15" s="17" t="s">
        <v>147</v>
      </c>
      <c r="E15" s="17" t="s">
        <v>159</v>
      </c>
      <c r="F15" s="15"/>
      <c r="G15" s="15"/>
      <c r="H15" s="17" t="s">
        <v>160</v>
      </c>
      <c r="I15" s="17" t="s">
        <v>161</v>
      </c>
      <c r="J15" s="17" t="s">
        <v>162</v>
      </c>
      <c r="K15" s="17"/>
      <c r="L15" s="20"/>
      <c r="M15" s="19" t="s">
        <v>58</v>
      </c>
      <c r="N15" s="23" t="s">
        <v>59</v>
      </c>
      <c r="O15" s="20"/>
      <c r="P15" s="20"/>
      <c r="Q15" s="20"/>
      <c r="R15" s="20" t="s">
        <v>60</v>
      </c>
      <c r="S15" s="17" t="s">
        <v>163</v>
      </c>
      <c r="T15" s="17" t="s">
        <v>164</v>
      </c>
      <c r="U15" s="17" t="s">
        <v>165</v>
      </c>
      <c r="V15" s="21" t="s">
        <v>166</v>
      </c>
      <c r="W15" s="17" t="s">
        <v>156</v>
      </c>
    </row>
    <row r="16" customFormat="false" ht="25.5" hidden="false" customHeight="true" outlineLevel="0" collapsed="false">
      <c r="A16" s="15" t="s">
        <v>167</v>
      </c>
      <c r="B16" s="16" t="s">
        <v>168</v>
      </c>
      <c r="C16" s="17" t="s">
        <v>128</v>
      </c>
      <c r="D16" s="17" t="s">
        <v>147</v>
      </c>
      <c r="E16" s="17" t="s">
        <v>169</v>
      </c>
      <c r="F16" s="15"/>
      <c r="G16" s="15"/>
      <c r="H16" s="17" t="s">
        <v>170</v>
      </c>
      <c r="I16" s="17" t="s">
        <v>171</v>
      </c>
      <c r="J16" s="17" t="s">
        <v>172</v>
      </c>
      <c r="K16" s="17"/>
      <c r="L16" s="20"/>
      <c r="M16" s="19" t="s">
        <v>58</v>
      </c>
      <c r="N16" s="20"/>
      <c r="O16" s="20"/>
      <c r="P16" s="22" t="s">
        <v>59</v>
      </c>
      <c r="Q16" s="20"/>
      <c r="R16" s="20" t="s">
        <v>60</v>
      </c>
      <c r="S16" s="17" t="s">
        <v>173</v>
      </c>
      <c r="T16" s="17" t="s">
        <v>174</v>
      </c>
      <c r="U16" s="17" t="s">
        <v>175</v>
      </c>
      <c r="V16" s="21" t="s">
        <v>176</v>
      </c>
      <c r="W16" s="17" t="s">
        <v>156</v>
      </c>
    </row>
    <row r="17" customFormat="false" ht="37.5" hidden="false" customHeight="true" outlineLevel="0" collapsed="false">
      <c r="A17" s="15" t="s">
        <v>177</v>
      </c>
      <c r="B17" s="16" t="s">
        <v>178</v>
      </c>
      <c r="C17" s="17" t="s">
        <v>128</v>
      </c>
      <c r="D17" s="17" t="s">
        <v>147</v>
      </c>
      <c r="E17" s="17" t="s">
        <v>179</v>
      </c>
      <c r="F17" s="15" t="s">
        <v>81</v>
      </c>
      <c r="G17" s="15"/>
      <c r="H17" s="17" t="s">
        <v>180</v>
      </c>
      <c r="I17" s="17" t="s">
        <v>181</v>
      </c>
      <c r="J17" s="17" t="s">
        <v>182</v>
      </c>
      <c r="K17" s="17"/>
      <c r="L17" s="20"/>
      <c r="M17" s="19" t="s">
        <v>58</v>
      </c>
      <c r="N17" s="23" t="s">
        <v>59</v>
      </c>
      <c r="O17" s="20"/>
      <c r="P17" s="22" t="s">
        <v>59</v>
      </c>
      <c r="Q17" s="20"/>
      <c r="R17" s="20" t="s">
        <v>60</v>
      </c>
      <c r="S17" s="17" t="s">
        <v>183</v>
      </c>
      <c r="T17" s="17" t="s">
        <v>184</v>
      </c>
      <c r="U17" s="17" t="s">
        <v>185</v>
      </c>
      <c r="V17" s="21" t="s">
        <v>166</v>
      </c>
      <c r="W17" s="17" t="s">
        <v>156</v>
      </c>
    </row>
    <row r="18" customFormat="false" ht="25.5" hidden="false" customHeight="true" outlineLevel="0" collapsed="false">
      <c r="A18" s="15" t="s">
        <v>186</v>
      </c>
      <c r="B18" s="16" t="s">
        <v>187</v>
      </c>
      <c r="C18" s="17" t="s">
        <v>128</v>
      </c>
      <c r="D18" s="17" t="s">
        <v>147</v>
      </c>
      <c r="E18" s="17" t="s">
        <v>188</v>
      </c>
      <c r="F18" s="15"/>
      <c r="G18" s="15"/>
      <c r="H18" s="17" t="s">
        <v>189</v>
      </c>
      <c r="I18" s="17" t="s">
        <v>190</v>
      </c>
      <c r="J18" s="17" t="s">
        <v>191</v>
      </c>
      <c r="K18" s="17"/>
      <c r="L18" s="20"/>
      <c r="M18" s="19" t="s">
        <v>58</v>
      </c>
      <c r="N18" s="20"/>
      <c r="O18" s="20"/>
      <c r="P18" s="20"/>
      <c r="Q18" s="20"/>
      <c r="R18" s="20" t="s">
        <v>60</v>
      </c>
      <c r="S18" s="17" t="s">
        <v>192</v>
      </c>
      <c r="T18" s="17" t="s">
        <v>193</v>
      </c>
      <c r="U18" s="17" t="s">
        <v>194</v>
      </c>
      <c r="V18" s="21" t="s">
        <v>195</v>
      </c>
      <c r="W18" s="17" t="s">
        <v>65</v>
      </c>
    </row>
    <row r="19" customFormat="false" ht="14.25" hidden="false" customHeight="true" outlineLevel="0" collapsed="false">
      <c r="A19" s="13" t="s">
        <v>196</v>
      </c>
      <c r="B19" s="14"/>
      <c r="C19" s="14"/>
      <c r="D19" s="14"/>
      <c r="E19" s="14"/>
      <c r="F19" s="14"/>
      <c r="G19" s="14"/>
      <c r="H19" s="14"/>
      <c r="I19" s="14"/>
      <c r="J19" s="14"/>
      <c r="K19" s="14"/>
      <c r="L19" s="14"/>
      <c r="M19" s="14"/>
      <c r="N19" s="14"/>
      <c r="O19" s="14"/>
      <c r="P19" s="14"/>
      <c r="Q19" s="14"/>
      <c r="R19" s="14"/>
      <c r="S19" s="14"/>
      <c r="T19" s="14"/>
      <c r="U19" s="14"/>
      <c r="V19" s="14"/>
      <c r="W19" s="14"/>
    </row>
    <row r="20" customFormat="false" ht="49.5" hidden="false" customHeight="true" outlineLevel="0" collapsed="false">
      <c r="A20" s="15" t="s">
        <v>197</v>
      </c>
      <c r="B20" s="16" t="s">
        <v>198</v>
      </c>
      <c r="C20" s="17" t="s">
        <v>199</v>
      </c>
      <c r="D20" s="17" t="s">
        <v>200</v>
      </c>
      <c r="E20" s="17" t="s">
        <v>201</v>
      </c>
      <c r="F20" s="15" t="s">
        <v>202</v>
      </c>
      <c r="G20" s="15" t="s">
        <v>71</v>
      </c>
      <c r="H20" s="17" t="s">
        <v>203</v>
      </c>
      <c r="I20" s="17" t="s">
        <v>204</v>
      </c>
      <c r="J20" s="17" t="s">
        <v>205</v>
      </c>
      <c r="K20" s="17"/>
      <c r="L20" s="18" t="s">
        <v>59</v>
      </c>
      <c r="M20" s="19" t="s">
        <v>59</v>
      </c>
      <c r="N20" s="23" t="s">
        <v>58</v>
      </c>
      <c r="O20" s="20"/>
      <c r="P20" s="22" t="s">
        <v>59</v>
      </c>
      <c r="Q20" s="24" t="s">
        <v>59</v>
      </c>
      <c r="R20" s="20" t="s">
        <v>60</v>
      </c>
      <c r="S20" s="17" t="s">
        <v>206</v>
      </c>
      <c r="T20" s="17" t="s">
        <v>207</v>
      </c>
      <c r="U20" s="17" t="s">
        <v>208</v>
      </c>
      <c r="V20" s="21" t="s">
        <v>209</v>
      </c>
      <c r="W20" s="17" t="s">
        <v>65</v>
      </c>
    </row>
    <row r="21" customFormat="false" ht="37.5" hidden="false" customHeight="true" outlineLevel="0" collapsed="false">
      <c r="A21" s="15" t="s">
        <v>210</v>
      </c>
      <c r="B21" s="16" t="s">
        <v>211</v>
      </c>
      <c r="C21" s="17" t="s">
        <v>212</v>
      </c>
      <c r="D21" s="17" t="s">
        <v>198</v>
      </c>
      <c r="E21" s="17" t="s">
        <v>69</v>
      </c>
      <c r="F21" s="15"/>
      <c r="G21" s="15"/>
      <c r="H21" s="17" t="s">
        <v>213</v>
      </c>
      <c r="I21" s="17" t="s">
        <v>214</v>
      </c>
      <c r="J21" s="17"/>
      <c r="K21" s="17"/>
      <c r="L21" s="20"/>
      <c r="M21" s="19" t="s">
        <v>58</v>
      </c>
      <c r="N21" s="23" t="s">
        <v>59</v>
      </c>
      <c r="O21" s="20"/>
      <c r="P21" s="20"/>
      <c r="Q21" s="20"/>
      <c r="R21" s="20" t="s">
        <v>215</v>
      </c>
      <c r="S21" s="17" t="s">
        <v>216</v>
      </c>
      <c r="T21" s="17" t="s">
        <v>62</v>
      </c>
      <c r="U21" s="17" t="s">
        <v>217</v>
      </c>
      <c r="V21" s="21"/>
      <c r="W21" s="17" t="s">
        <v>156</v>
      </c>
    </row>
    <row r="22" customFormat="false" ht="25.5" hidden="false" customHeight="true" outlineLevel="0" collapsed="false">
      <c r="A22" s="15" t="s">
        <v>218</v>
      </c>
      <c r="B22" s="16" t="s">
        <v>219</v>
      </c>
      <c r="C22" s="17" t="s">
        <v>212</v>
      </c>
      <c r="D22" s="17" t="s">
        <v>198</v>
      </c>
      <c r="E22" s="17" t="s">
        <v>148</v>
      </c>
      <c r="F22" s="15"/>
      <c r="G22" s="15"/>
      <c r="H22" s="17" t="s">
        <v>220</v>
      </c>
      <c r="I22" s="17" t="s">
        <v>221</v>
      </c>
      <c r="J22" s="17"/>
      <c r="K22" s="17"/>
      <c r="L22" s="20"/>
      <c r="M22" s="19" t="s">
        <v>58</v>
      </c>
      <c r="N22" s="23" t="s">
        <v>59</v>
      </c>
      <c r="O22" s="20"/>
      <c r="P22" s="20"/>
      <c r="Q22" s="20"/>
      <c r="R22" s="20" t="s">
        <v>215</v>
      </c>
      <c r="S22" s="17" t="s">
        <v>216</v>
      </c>
      <c r="T22" s="17" t="s">
        <v>62</v>
      </c>
      <c r="U22" s="17" t="s">
        <v>222</v>
      </c>
      <c r="V22" s="21"/>
      <c r="W22" s="17" t="s">
        <v>156</v>
      </c>
    </row>
    <row r="23" customFormat="false" ht="25.5" hidden="false" customHeight="true" outlineLevel="0" collapsed="false">
      <c r="A23" s="15" t="s">
        <v>223</v>
      </c>
      <c r="B23" s="16" t="s">
        <v>224</v>
      </c>
      <c r="C23" s="17" t="s">
        <v>212</v>
      </c>
      <c r="D23" s="17" t="s">
        <v>198</v>
      </c>
      <c r="E23" s="17" t="s">
        <v>225</v>
      </c>
      <c r="F23" s="15"/>
      <c r="G23" s="15"/>
      <c r="H23" s="17" t="s">
        <v>226</v>
      </c>
      <c r="I23" s="17" t="s">
        <v>227</v>
      </c>
      <c r="J23" s="17"/>
      <c r="K23" s="17"/>
      <c r="L23" s="20"/>
      <c r="M23" s="19" t="s">
        <v>58</v>
      </c>
      <c r="N23" s="23" t="s">
        <v>59</v>
      </c>
      <c r="O23" s="20"/>
      <c r="P23" s="20"/>
      <c r="Q23" s="20"/>
      <c r="R23" s="20" t="s">
        <v>215</v>
      </c>
      <c r="S23" s="17" t="s">
        <v>216</v>
      </c>
      <c r="T23" s="17" t="s">
        <v>62</v>
      </c>
      <c r="U23" s="17" t="s">
        <v>228</v>
      </c>
      <c r="V23" s="21"/>
      <c r="W23" s="17" t="s">
        <v>156</v>
      </c>
    </row>
    <row r="24" customFormat="false" ht="24.75" hidden="false" customHeight="true" outlineLevel="0" collapsed="false">
      <c r="A24" s="15" t="s">
        <v>229</v>
      </c>
      <c r="B24" s="16" t="s">
        <v>230</v>
      </c>
      <c r="C24" s="17" t="s">
        <v>212</v>
      </c>
      <c r="D24" s="17" t="s">
        <v>198</v>
      </c>
      <c r="E24" s="17" t="s">
        <v>69</v>
      </c>
      <c r="F24" s="15"/>
      <c r="G24" s="15"/>
      <c r="H24" s="17" t="s">
        <v>231</v>
      </c>
      <c r="I24" s="17" t="s">
        <v>232</v>
      </c>
      <c r="J24" s="17"/>
      <c r="K24" s="17"/>
      <c r="L24" s="20"/>
      <c r="M24" s="19" t="s">
        <v>58</v>
      </c>
      <c r="N24" s="23" t="s">
        <v>59</v>
      </c>
      <c r="O24" s="20"/>
      <c r="P24" s="20"/>
      <c r="Q24" s="20"/>
      <c r="R24" s="20" t="s">
        <v>215</v>
      </c>
      <c r="S24" s="17" t="s">
        <v>216</v>
      </c>
      <c r="T24" s="17" t="s">
        <v>62</v>
      </c>
      <c r="U24" s="17" t="s">
        <v>233</v>
      </c>
      <c r="V24" s="21"/>
      <c r="W24" s="17" t="s">
        <v>156</v>
      </c>
    </row>
    <row r="25" customFormat="false" ht="14.25" hidden="false" customHeight="true" outlineLevel="0" collapsed="false">
      <c r="A25" s="13" t="s">
        <v>234</v>
      </c>
      <c r="B25" s="14"/>
      <c r="C25" s="14"/>
      <c r="D25" s="14"/>
      <c r="E25" s="14"/>
      <c r="F25" s="14"/>
      <c r="G25" s="14"/>
      <c r="H25" s="14"/>
      <c r="I25" s="14"/>
      <c r="J25" s="14"/>
      <c r="K25" s="14"/>
      <c r="L25" s="14"/>
      <c r="M25" s="14"/>
      <c r="N25" s="14"/>
      <c r="O25" s="14"/>
      <c r="P25" s="14"/>
      <c r="Q25" s="14"/>
      <c r="R25" s="14"/>
      <c r="S25" s="14"/>
      <c r="T25" s="14"/>
      <c r="U25" s="14"/>
      <c r="V25" s="14"/>
      <c r="W25" s="14"/>
    </row>
    <row r="26" customFormat="false" ht="37.5" hidden="false" customHeight="true" outlineLevel="0" collapsed="false">
      <c r="A26" s="15" t="s">
        <v>235</v>
      </c>
      <c r="B26" s="16" t="s">
        <v>236</v>
      </c>
      <c r="C26" s="17" t="s">
        <v>237</v>
      </c>
      <c r="D26" s="17" t="s">
        <v>106</v>
      </c>
      <c r="E26" s="17" t="s">
        <v>107</v>
      </c>
      <c r="F26" s="15" t="s">
        <v>238</v>
      </c>
      <c r="G26" s="15" t="s">
        <v>90</v>
      </c>
      <c r="H26" s="17" t="s">
        <v>239</v>
      </c>
      <c r="I26" s="17" t="s">
        <v>240</v>
      </c>
      <c r="J26" s="17" t="s">
        <v>241</v>
      </c>
      <c r="K26" s="17"/>
      <c r="L26" s="18" t="s">
        <v>59</v>
      </c>
      <c r="M26" s="19" t="s">
        <v>59</v>
      </c>
      <c r="N26" s="23" t="s">
        <v>58</v>
      </c>
      <c r="O26" s="20"/>
      <c r="P26" s="20"/>
      <c r="Q26" s="20"/>
      <c r="R26" s="20" t="s">
        <v>60</v>
      </c>
      <c r="S26" s="17" t="s">
        <v>242</v>
      </c>
      <c r="T26" s="17" t="s">
        <v>184</v>
      </c>
      <c r="U26" s="17" t="s">
        <v>243</v>
      </c>
      <c r="V26" s="21" t="s">
        <v>244</v>
      </c>
      <c r="W26" s="17" t="s">
        <v>156</v>
      </c>
    </row>
    <row r="27" customFormat="false" ht="37.5" hidden="false" customHeight="true" outlineLevel="0" collapsed="false">
      <c r="A27" s="15" t="s">
        <v>245</v>
      </c>
      <c r="B27" s="16" t="s">
        <v>246</v>
      </c>
      <c r="C27" s="17" t="s">
        <v>237</v>
      </c>
      <c r="D27" s="17" t="s">
        <v>247</v>
      </c>
      <c r="E27" s="17" t="s">
        <v>107</v>
      </c>
      <c r="F27" s="15" t="s">
        <v>97</v>
      </c>
      <c r="G27" s="15" t="s">
        <v>238</v>
      </c>
      <c r="H27" s="17" t="s">
        <v>248</v>
      </c>
      <c r="I27" s="17" t="s">
        <v>249</v>
      </c>
      <c r="J27" s="17" t="s">
        <v>250</v>
      </c>
      <c r="K27" s="17"/>
      <c r="L27" s="18" t="s">
        <v>59</v>
      </c>
      <c r="M27" s="19" t="s">
        <v>59</v>
      </c>
      <c r="N27" s="23" t="s">
        <v>58</v>
      </c>
      <c r="O27" s="20"/>
      <c r="P27" s="20"/>
      <c r="Q27" s="20"/>
      <c r="R27" s="20" t="s">
        <v>60</v>
      </c>
      <c r="S27" s="17" t="s">
        <v>251</v>
      </c>
      <c r="T27" s="17" t="s">
        <v>252</v>
      </c>
      <c r="U27" s="17" t="s">
        <v>253</v>
      </c>
      <c r="V27" s="21" t="s">
        <v>254</v>
      </c>
      <c r="W27" s="17" t="s">
        <v>156</v>
      </c>
    </row>
    <row r="28" customFormat="false" ht="14.25" hidden="false" customHeight="true" outlineLevel="0" collapsed="false">
      <c r="A28" s="13" t="s">
        <v>255</v>
      </c>
      <c r="B28" s="14"/>
      <c r="C28" s="14"/>
      <c r="D28" s="14"/>
      <c r="E28" s="14"/>
      <c r="F28" s="14"/>
      <c r="G28" s="14"/>
      <c r="H28" s="14"/>
      <c r="I28" s="14"/>
      <c r="J28" s="14"/>
      <c r="K28" s="14"/>
      <c r="L28" s="14"/>
      <c r="M28" s="14"/>
      <c r="N28" s="14"/>
      <c r="O28" s="14"/>
      <c r="P28" s="14"/>
      <c r="Q28" s="14"/>
      <c r="R28" s="14"/>
      <c r="S28" s="14"/>
      <c r="T28" s="14"/>
      <c r="U28" s="14"/>
      <c r="V28" s="14"/>
      <c r="W28" s="14"/>
    </row>
    <row r="29" customFormat="false" ht="24.75" hidden="false" customHeight="true" outlineLevel="0" collapsed="false">
      <c r="A29" s="15" t="s">
        <v>256</v>
      </c>
      <c r="B29" s="16" t="s">
        <v>257</v>
      </c>
      <c r="C29" s="17" t="s">
        <v>258</v>
      </c>
      <c r="D29" s="17" t="s">
        <v>259</v>
      </c>
      <c r="E29" s="17"/>
      <c r="F29" s="15"/>
      <c r="G29" s="15"/>
      <c r="H29" s="17" t="s">
        <v>260</v>
      </c>
      <c r="I29" s="17" t="s">
        <v>261</v>
      </c>
      <c r="J29" s="17" t="s">
        <v>262</v>
      </c>
      <c r="K29" s="17"/>
      <c r="L29" s="20"/>
      <c r="M29" s="20"/>
      <c r="N29" s="23" t="s">
        <v>58</v>
      </c>
      <c r="O29" s="25" t="s">
        <v>59</v>
      </c>
      <c r="P29" s="20"/>
      <c r="Q29" s="20"/>
      <c r="R29" s="20" t="s">
        <v>60</v>
      </c>
      <c r="S29" s="17" t="s">
        <v>263</v>
      </c>
      <c r="T29" s="17" t="s">
        <v>264</v>
      </c>
      <c r="U29" s="17" t="s">
        <v>265</v>
      </c>
      <c r="V29" s="21" t="s">
        <v>266</v>
      </c>
      <c r="W29" s="17" t="s">
        <v>267</v>
      </c>
    </row>
    <row r="30" customFormat="false" ht="24.75" hidden="false" customHeight="true" outlineLevel="0" collapsed="false">
      <c r="A30" s="15" t="s">
        <v>268</v>
      </c>
      <c r="B30" s="16" t="s">
        <v>269</v>
      </c>
      <c r="C30" s="17" t="s">
        <v>258</v>
      </c>
      <c r="D30" s="17" t="s">
        <v>259</v>
      </c>
      <c r="E30" s="17"/>
      <c r="F30" s="15"/>
      <c r="G30" s="15"/>
      <c r="H30" s="17" t="s">
        <v>270</v>
      </c>
      <c r="I30" s="17" t="s">
        <v>271</v>
      </c>
      <c r="J30" s="17" t="s">
        <v>272</v>
      </c>
      <c r="K30" s="17"/>
      <c r="L30" s="20"/>
      <c r="M30" s="20"/>
      <c r="N30" s="23" t="s">
        <v>58</v>
      </c>
      <c r="O30" s="25" t="s">
        <v>59</v>
      </c>
      <c r="P30" s="20"/>
      <c r="Q30" s="20"/>
      <c r="R30" s="20" t="s">
        <v>60</v>
      </c>
      <c r="S30" s="17" t="s">
        <v>263</v>
      </c>
      <c r="T30" s="17" t="s">
        <v>264</v>
      </c>
      <c r="U30" s="17" t="s">
        <v>265</v>
      </c>
      <c r="V30" s="21" t="s">
        <v>266</v>
      </c>
      <c r="W30" s="17" t="s">
        <v>267</v>
      </c>
    </row>
    <row r="31" customFormat="false" ht="24.75" hidden="false" customHeight="true" outlineLevel="0" collapsed="false">
      <c r="A31" s="15" t="s">
        <v>273</v>
      </c>
      <c r="B31" s="16" t="s">
        <v>274</v>
      </c>
      <c r="C31" s="17" t="s">
        <v>258</v>
      </c>
      <c r="D31" s="17" t="s">
        <v>259</v>
      </c>
      <c r="E31" s="17"/>
      <c r="F31" s="15"/>
      <c r="G31" s="15"/>
      <c r="H31" s="17" t="s">
        <v>275</v>
      </c>
      <c r="I31" s="17" t="s">
        <v>276</v>
      </c>
      <c r="J31" s="17" t="s">
        <v>277</v>
      </c>
      <c r="K31" s="17"/>
      <c r="L31" s="20"/>
      <c r="M31" s="19" t="s">
        <v>59</v>
      </c>
      <c r="N31" s="23" t="s">
        <v>58</v>
      </c>
      <c r="O31" s="25" t="s">
        <v>59</v>
      </c>
      <c r="P31" s="20"/>
      <c r="Q31" s="24" t="s">
        <v>59</v>
      </c>
      <c r="R31" s="20" t="s">
        <v>60</v>
      </c>
      <c r="S31" s="17" t="s">
        <v>278</v>
      </c>
      <c r="T31" s="17" t="s">
        <v>279</v>
      </c>
      <c r="U31" s="17" t="s">
        <v>265</v>
      </c>
      <c r="V31" s="21" t="s">
        <v>280</v>
      </c>
      <c r="W31" s="17" t="s">
        <v>267</v>
      </c>
    </row>
    <row r="32" customFormat="false" ht="14.25" hidden="false" customHeight="true" outlineLevel="0" collapsed="false">
      <c r="A32" s="13" t="s">
        <v>281</v>
      </c>
      <c r="B32" s="14"/>
      <c r="C32" s="14"/>
      <c r="D32" s="14"/>
      <c r="E32" s="14"/>
      <c r="F32" s="14"/>
      <c r="G32" s="14"/>
      <c r="H32" s="14"/>
      <c r="I32" s="14"/>
      <c r="J32" s="14"/>
      <c r="K32" s="14"/>
      <c r="L32" s="14"/>
      <c r="M32" s="14"/>
      <c r="N32" s="14"/>
      <c r="O32" s="14"/>
      <c r="P32" s="14"/>
      <c r="Q32" s="14"/>
      <c r="R32" s="14"/>
      <c r="S32" s="14"/>
      <c r="T32" s="14"/>
      <c r="U32" s="14"/>
      <c r="V32" s="14"/>
      <c r="W32" s="14"/>
    </row>
    <row r="33" customFormat="false" ht="49.5" hidden="false" customHeight="true" outlineLevel="0" collapsed="false">
      <c r="A33" s="15" t="s">
        <v>282</v>
      </c>
      <c r="B33" s="16" t="s">
        <v>283</v>
      </c>
      <c r="C33" s="17" t="s">
        <v>284</v>
      </c>
      <c r="D33" s="17" t="s">
        <v>259</v>
      </c>
      <c r="E33" s="17"/>
      <c r="F33" s="15" t="s">
        <v>285</v>
      </c>
      <c r="G33" s="15" t="s">
        <v>285</v>
      </c>
      <c r="H33" s="17" t="s">
        <v>286</v>
      </c>
      <c r="I33" s="17" t="s">
        <v>287</v>
      </c>
      <c r="J33" s="17" t="s">
        <v>288</v>
      </c>
      <c r="K33" s="26" t="s">
        <v>289</v>
      </c>
      <c r="L33" s="20"/>
      <c r="M33" s="20"/>
      <c r="N33" s="20"/>
      <c r="O33" s="20"/>
      <c r="P33" s="20"/>
      <c r="Q33" s="24" t="s">
        <v>58</v>
      </c>
      <c r="R33" s="20" t="s">
        <v>60</v>
      </c>
      <c r="S33" s="17" t="s">
        <v>290</v>
      </c>
      <c r="T33" s="17" t="s">
        <v>291</v>
      </c>
      <c r="U33" s="17" t="s">
        <v>292</v>
      </c>
      <c r="V33" s="21" t="s">
        <v>293</v>
      </c>
      <c r="W33" s="17" t="s">
        <v>294</v>
      </c>
    </row>
    <row r="34" customFormat="false" ht="37.5" hidden="false" customHeight="true" outlineLevel="0" collapsed="false">
      <c r="A34" s="15" t="s">
        <v>295</v>
      </c>
      <c r="B34" s="16" t="s">
        <v>296</v>
      </c>
      <c r="C34" s="17" t="s">
        <v>284</v>
      </c>
      <c r="D34" s="17" t="s">
        <v>259</v>
      </c>
      <c r="E34" s="17"/>
      <c r="F34" s="15" t="s">
        <v>285</v>
      </c>
      <c r="G34" s="15" t="s">
        <v>285</v>
      </c>
      <c r="H34" s="17" t="s">
        <v>297</v>
      </c>
      <c r="I34" s="17" t="s">
        <v>287</v>
      </c>
      <c r="J34" s="17" t="s">
        <v>298</v>
      </c>
      <c r="K34" s="26" t="s">
        <v>299</v>
      </c>
      <c r="L34" s="20"/>
      <c r="M34" s="19" t="s">
        <v>59</v>
      </c>
      <c r="N34" s="20"/>
      <c r="O34" s="20"/>
      <c r="P34" s="20"/>
      <c r="Q34" s="24" t="s">
        <v>58</v>
      </c>
      <c r="R34" s="20" t="s">
        <v>60</v>
      </c>
      <c r="S34" s="17" t="s">
        <v>290</v>
      </c>
      <c r="T34" s="17" t="s">
        <v>291</v>
      </c>
      <c r="U34" s="17" t="s">
        <v>300</v>
      </c>
      <c r="V34" s="21" t="s">
        <v>293</v>
      </c>
      <c r="W34" s="17" t="s">
        <v>294</v>
      </c>
    </row>
    <row r="35" customFormat="false" ht="37.5" hidden="false" customHeight="true" outlineLevel="0" collapsed="false">
      <c r="A35" s="15" t="s">
        <v>301</v>
      </c>
      <c r="B35" s="16" t="s">
        <v>302</v>
      </c>
      <c r="C35" s="17" t="s">
        <v>284</v>
      </c>
      <c r="D35" s="17" t="s">
        <v>259</v>
      </c>
      <c r="E35" s="17"/>
      <c r="F35" s="15" t="s">
        <v>303</v>
      </c>
      <c r="G35" s="15" t="s">
        <v>285</v>
      </c>
      <c r="H35" s="17" t="s">
        <v>304</v>
      </c>
      <c r="I35" s="17" t="s">
        <v>287</v>
      </c>
      <c r="J35" s="17" t="s">
        <v>305</v>
      </c>
      <c r="K35" s="26" t="s">
        <v>306</v>
      </c>
      <c r="L35" s="20"/>
      <c r="M35" s="19" t="s">
        <v>59</v>
      </c>
      <c r="N35" s="20"/>
      <c r="O35" s="25" t="s">
        <v>59</v>
      </c>
      <c r="P35" s="20"/>
      <c r="Q35" s="24" t="s">
        <v>58</v>
      </c>
      <c r="R35" s="20" t="s">
        <v>60</v>
      </c>
      <c r="S35" s="17" t="s">
        <v>290</v>
      </c>
      <c r="T35" s="17" t="s">
        <v>291</v>
      </c>
      <c r="U35" s="17" t="s">
        <v>300</v>
      </c>
      <c r="V35" s="21" t="s">
        <v>293</v>
      </c>
      <c r="W35" s="17" t="s">
        <v>294</v>
      </c>
    </row>
    <row r="36" customFormat="false" ht="37.5" hidden="false" customHeight="true" outlineLevel="0" collapsed="false">
      <c r="A36" s="15" t="s">
        <v>307</v>
      </c>
      <c r="B36" s="16" t="s">
        <v>308</v>
      </c>
      <c r="C36" s="17" t="s">
        <v>284</v>
      </c>
      <c r="D36" s="17" t="s">
        <v>259</v>
      </c>
      <c r="E36" s="17"/>
      <c r="F36" s="15" t="s">
        <v>285</v>
      </c>
      <c r="G36" s="15" t="s">
        <v>285</v>
      </c>
      <c r="H36" s="17" t="s">
        <v>309</v>
      </c>
      <c r="I36" s="17" t="s">
        <v>310</v>
      </c>
      <c r="J36" s="17" t="s">
        <v>311</v>
      </c>
      <c r="K36" s="26" t="s">
        <v>312</v>
      </c>
      <c r="L36" s="18" t="s">
        <v>59</v>
      </c>
      <c r="M36" s="20"/>
      <c r="N36" s="20"/>
      <c r="O36" s="25" t="s">
        <v>59</v>
      </c>
      <c r="P36" s="20"/>
      <c r="Q36" s="24" t="s">
        <v>58</v>
      </c>
      <c r="R36" s="20" t="s">
        <v>62</v>
      </c>
      <c r="S36" s="17" t="s">
        <v>290</v>
      </c>
      <c r="T36" s="17" t="s">
        <v>291</v>
      </c>
      <c r="U36" s="17" t="s">
        <v>300</v>
      </c>
      <c r="V36" s="21" t="s">
        <v>313</v>
      </c>
      <c r="W36" s="17" t="s">
        <v>294</v>
      </c>
    </row>
    <row r="37" customFormat="false" ht="37.5" hidden="false" customHeight="true" outlineLevel="0" collapsed="false">
      <c r="A37" s="15" t="s">
        <v>314</v>
      </c>
      <c r="B37" s="16" t="s">
        <v>315</v>
      </c>
      <c r="C37" s="17" t="s">
        <v>284</v>
      </c>
      <c r="D37" s="17" t="s">
        <v>259</v>
      </c>
      <c r="E37" s="17"/>
      <c r="F37" s="15" t="s">
        <v>303</v>
      </c>
      <c r="G37" s="15" t="s">
        <v>303</v>
      </c>
      <c r="H37" s="17" t="s">
        <v>316</v>
      </c>
      <c r="I37" s="17" t="s">
        <v>317</v>
      </c>
      <c r="J37" s="17" t="s">
        <v>318</v>
      </c>
      <c r="K37" s="26" t="s">
        <v>319</v>
      </c>
      <c r="L37" s="20"/>
      <c r="M37" s="20"/>
      <c r="N37" s="20"/>
      <c r="O37" s="25" t="s">
        <v>59</v>
      </c>
      <c r="P37" s="20"/>
      <c r="Q37" s="24" t="s">
        <v>58</v>
      </c>
      <c r="R37" s="20" t="s">
        <v>60</v>
      </c>
      <c r="S37" s="17" t="s">
        <v>290</v>
      </c>
      <c r="T37" s="17" t="s">
        <v>291</v>
      </c>
      <c r="U37" s="17" t="s">
        <v>300</v>
      </c>
      <c r="V37" s="21" t="s">
        <v>293</v>
      </c>
      <c r="W37" s="17" t="s">
        <v>294</v>
      </c>
    </row>
    <row r="38" customFormat="false" ht="37.5" hidden="false" customHeight="true" outlineLevel="0" collapsed="false">
      <c r="A38" s="15" t="s">
        <v>320</v>
      </c>
      <c r="B38" s="16" t="s">
        <v>321</v>
      </c>
      <c r="C38" s="17" t="s">
        <v>284</v>
      </c>
      <c r="D38" s="17" t="s">
        <v>259</v>
      </c>
      <c r="E38" s="17"/>
      <c r="F38" s="15" t="s">
        <v>322</v>
      </c>
      <c r="G38" s="15" t="s">
        <v>322</v>
      </c>
      <c r="H38" s="17" t="s">
        <v>323</v>
      </c>
      <c r="I38" s="17" t="s">
        <v>324</v>
      </c>
      <c r="J38" s="17" t="s">
        <v>325</v>
      </c>
      <c r="K38" s="26" t="s">
        <v>326</v>
      </c>
      <c r="L38" s="20"/>
      <c r="M38" s="20"/>
      <c r="N38" s="20"/>
      <c r="O38" s="20"/>
      <c r="P38" s="20"/>
      <c r="Q38" s="24" t="s">
        <v>58</v>
      </c>
      <c r="R38" s="20" t="s">
        <v>62</v>
      </c>
      <c r="S38" s="17" t="s">
        <v>290</v>
      </c>
      <c r="T38" s="17" t="s">
        <v>291</v>
      </c>
      <c r="U38" s="17" t="s">
        <v>300</v>
      </c>
      <c r="V38" s="21" t="s">
        <v>293</v>
      </c>
      <c r="W38" s="17" t="s">
        <v>294</v>
      </c>
    </row>
    <row r="39" customFormat="false" ht="24.75" hidden="false" customHeight="true" outlineLevel="0" collapsed="false">
      <c r="A39" s="15" t="s">
        <v>327</v>
      </c>
      <c r="B39" s="16" t="s">
        <v>328</v>
      </c>
      <c r="C39" s="17" t="s">
        <v>284</v>
      </c>
      <c r="D39" s="17" t="s">
        <v>259</v>
      </c>
      <c r="E39" s="17"/>
      <c r="F39" s="15" t="s">
        <v>329</v>
      </c>
      <c r="G39" s="15" t="s">
        <v>330</v>
      </c>
      <c r="H39" s="17" t="s">
        <v>331</v>
      </c>
      <c r="I39" s="17" t="s">
        <v>324</v>
      </c>
      <c r="J39" s="17" t="s">
        <v>332</v>
      </c>
      <c r="K39" s="17"/>
      <c r="L39" s="20"/>
      <c r="M39" s="20"/>
      <c r="N39" s="20"/>
      <c r="O39" s="20"/>
      <c r="P39" s="20"/>
      <c r="Q39" s="24" t="s">
        <v>58</v>
      </c>
      <c r="R39" s="20" t="s">
        <v>62</v>
      </c>
      <c r="S39" s="17" t="s">
        <v>290</v>
      </c>
      <c r="T39" s="17" t="s">
        <v>291</v>
      </c>
      <c r="U39" s="17" t="s">
        <v>265</v>
      </c>
      <c r="V39" s="21" t="s">
        <v>333</v>
      </c>
      <c r="W39" s="17" t="s">
        <v>294</v>
      </c>
    </row>
    <row r="40" customFormat="false" ht="37.5" hidden="false" customHeight="true" outlineLevel="0" collapsed="false">
      <c r="A40" s="15" t="s">
        <v>334</v>
      </c>
      <c r="B40" s="16" t="s">
        <v>335</v>
      </c>
      <c r="C40" s="17" t="s">
        <v>284</v>
      </c>
      <c r="D40" s="17" t="s">
        <v>259</v>
      </c>
      <c r="E40" s="17"/>
      <c r="F40" s="15" t="s">
        <v>336</v>
      </c>
      <c r="G40" s="15" t="s">
        <v>322</v>
      </c>
      <c r="H40" s="17" t="s">
        <v>337</v>
      </c>
      <c r="I40" s="17" t="s">
        <v>324</v>
      </c>
      <c r="J40" s="17" t="s">
        <v>338</v>
      </c>
      <c r="K40" s="17"/>
      <c r="L40" s="20"/>
      <c r="M40" s="19" t="s">
        <v>59</v>
      </c>
      <c r="N40" s="20"/>
      <c r="O40" s="20"/>
      <c r="P40" s="20"/>
      <c r="Q40" s="24" t="s">
        <v>58</v>
      </c>
      <c r="R40" s="20" t="s">
        <v>62</v>
      </c>
      <c r="S40" s="17" t="s">
        <v>290</v>
      </c>
      <c r="T40" s="17" t="s">
        <v>291</v>
      </c>
      <c r="U40" s="17" t="s">
        <v>265</v>
      </c>
      <c r="V40" s="21" t="s">
        <v>339</v>
      </c>
      <c r="W40" s="17" t="s">
        <v>294</v>
      </c>
    </row>
    <row r="41" customFormat="false" ht="37.5" hidden="false" customHeight="true" outlineLevel="0" collapsed="false">
      <c r="A41" s="15" t="s">
        <v>340</v>
      </c>
      <c r="B41" s="16" t="s">
        <v>341</v>
      </c>
      <c r="C41" s="17" t="s">
        <v>284</v>
      </c>
      <c r="D41" s="17" t="s">
        <v>259</v>
      </c>
      <c r="E41" s="17"/>
      <c r="F41" s="15" t="s">
        <v>342</v>
      </c>
      <c r="G41" s="15" t="s">
        <v>343</v>
      </c>
      <c r="H41" s="17" t="s">
        <v>344</v>
      </c>
      <c r="I41" s="17" t="s">
        <v>345</v>
      </c>
      <c r="J41" s="17" t="s">
        <v>346</v>
      </c>
      <c r="K41" s="17"/>
      <c r="L41" s="20"/>
      <c r="M41" s="20"/>
      <c r="N41" s="20"/>
      <c r="O41" s="20"/>
      <c r="P41" s="20"/>
      <c r="Q41" s="24" t="s">
        <v>58</v>
      </c>
      <c r="R41" s="20" t="s">
        <v>62</v>
      </c>
      <c r="S41" s="17" t="s">
        <v>290</v>
      </c>
      <c r="T41" s="17" t="s">
        <v>291</v>
      </c>
      <c r="U41" s="17" t="s">
        <v>265</v>
      </c>
      <c r="V41" s="21" t="s">
        <v>333</v>
      </c>
      <c r="W41" s="17" t="s">
        <v>294</v>
      </c>
    </row>
    <row r="42" customFormat="false" ht="24.75" hidden="false" customHeight="true" outlineLevel="0" collapsed="false">
      <c r="A42" s="15" t="s">
        <v>347</v>
      </c>
      <c r="B42" s="16" t="s">
        <v>348</v>
      </c>
      <c r="C42" s="17" t="s">
        <v>284</v>
      </c>
      <c r="D42" s="17" t="s">
        <v>259</v>
      </c>
      <c r="E42" s="17"/>
      <c r="F42" s="15" t="s">
        <v>349</v>
      </c>
      <c r="G42" s="15" t="s">
        <v>349</v>
      </c>
      <c r="H42" s="17" t="s">
        <v>350</v>
      </c>
      <c r="I42" s="17" t="s">
        <v>351</v>
      </c>
      <c r="J42" s="17" t="s">
        <v>352</v>
      </c>
      <c r="K42" s="17"/>
      <c r="L42" s="20"/>
      <c r="M42" s="19" t="s">
        <v>59</v>
      </c>
      <c r="N42" s="20"/>
      <c r="O42" s="20"/>
      <c r="P42" s="20"/>
      <c r="Q42" s="24" t="s">
        <v>58</v>
      </c>
      <c r="R42" s="20" t="s">
        <v>62</v>
      </c>
      <c r="S42" s="17" t="s">
        <v>290</v>
      </c>
      <c r="T42" s="17" t="s">
        <v>291</v>
      </c>
      <c r="U42" s="17" t="s">
        <v>265</v>
      </c>
      <c r="V42" s="21" t="s">
        <v>353</v>
      </c>
      <c r="W42" s="17" t="s">
        <v>294</v>
      </c>
    </row>
    <row r="43" customFormat="false" ht="37.5" hidden="false" customHeight="true" outlineLevel="0" collapsed="false">
      <c r="A43" s="15" t="s">
        <v>354</v>
      </c>
      <c r="B43" s="16" t="s">
        <v>355</v>
      </c>
      <c r="C43" s="17" t="s">
        <v>284</v>
      </c>
      <c r="D43" s="17" t="s">
        <v>259</v>
      </c>
      <c r="E43" s="17"/>
      <c r="F43" s="15" t="s">
        <v>330</v>
      </c>
      <c r="G43" s="15" t="s">
        <v>330</v>
      </c>
      <c r="H43" s="17" t="s">
        <v>356</v>
      </c>
      <c r="I43" s="17" t="s">
        <v>357</v>
      </c>
      <c r="J43" s="17" t="s">
        <v>358</v>
      </c>
      <c r="K43" s="26" t="s">
        <v>359</v>
      </c>
      <c r="L43" s="20"/>
      <c r="M43" s="19" t="s">
        <v>59</v>
      </c>
      <c r="N43" s="20"/>
      <c r="O43" s="20"/>
      <c r="P43" s="20"/>
      <c r="Q43" s="24" t="s">
        <v>58</v>
      </c>
      <c r="R43" s="20" t="s">
        <v>60</v>
      </c>
      <c r="S43" s="17" t="s">
        <v>290</v>
      </c>
      <c r="T43" s="17" t="s">
        <v>291</v>
      </c>
      <c r="U43" s="17" t="s">
        <v>300</v>
      </c>
      <c r="V43" s="21" t="s">
        <v>293</v>
      </c>
      <c r="W43" s="17" t="s">
        <v>294</v>
      </c>
    </row>
    <row r="44" customFormat="false" ht="25.5" hidden="false" customHeight="true" outlineLevel="0" collapsed="false">
      <c r="A44" s="15" t="s">
        <v>360</v>
      </c>
      <c r="B44" s="16" t="s">
        <v>361</v>
      </c>
      <c r="C44" s="17" t="s">
        <v>284</v>
      </c>
      <c r="D44" s="17" t="s">
        <v>259</v>
      </c>
      <c r="E44" s="17"/>
      <c r="F44" s="15" t="s">
        <v>336</v>
      </c>
      <c r="G44" s="15" t="s">
        <v>336</v>
      </c>
      <c r="H44" s="17" t="s">
        <v>362</v>
      </c>
      <c r="I44" s="17" t="s">
        <v>345</v>
      </c>
      <c r="J44" s="17" t="s">
        <v>363</v>
      </c>
      <c r="K44" s="26" t="s">
        <v>364</v>
      </c>
      <c r="L44" s="20"/>
      <c r="M44" s="20"/>
      <c r="N44" s="20"/>
      <c r="O44" s="20"/>
      <c r="P44" s="20"/>
      <c r="Q44" s="24" t="s">
        <v>58</v>
      </c>
      <c r="R44" s="20" t="s">
        <v>62</v>
      </c>
      <c r="S44" s="17" t="s">
        <v>290</v>
      </c>
      <c r="T44" s="17" t="s">
        <v>291</v>
      </c>
      <c r="U44" s="17" t="s">
        <v>300</v>
      </c>
      <c r="V44" s="21" t="s">
        <v>293</v>
      </c>
      <c r="W44" s="17" t="s">
        <v>294</v>
      </c>
    </row>
    <row r="45" customFormat="false" ht="37.5" hidden="false" customHeight="true" outlineLevel="0" collapsed="false">
      <c r="A45" s="15" t="s">
        <v>365</v>
      </c>
      <c r="B45" s="16" t="s">
        <v>366</v>
      </c>
      <c r="C45" s="17" t="s">
        <v>284</v>
      </c>
      <c r="D45" s="17" t="s">
        <v>259</v>
      </c>
      <c r="E45" s="17"/>
      <c r="F45" s="15" t="s">
        <v>336</v>
      </c>
      <c r="G45" s="15" t="s">
        <v>336</v>
      </c>
      <c r="H45" s="17" t="s">
        <v>367</v>
      </c>
      <c r="I45" s="17" t="s">
        <v>368</v>
      </c>
      <c r="J45" s="17" t="s">
        <v>369</v>
      </c>
      <c r="K45" s="17"/>
      <c r="L45" s="20"/>
      <c r="M45" s="19" t="s">
        <v>59</v>
      </c>
      <c r="N45" s="20"/>
      <c r="O45" s="20"/>
      <c r="P45" s="20"/>
      <c r="Q45" s="24" t="s">
        <v>58</v>
      </c>
      <c r="R45" s="20" t="s">
        <v>60</v>
      </c>
      <c r="S45" s="17" t="s">
        <v>290</v>
      </c>
      <c r="T45" s="17" t="s">
        <v>291</v>
      </c>
      <c r="U45" s="17" t="s">
        <v>265</v>
      </c>
      <c r="V45" s="21" t="s">
        <v>333</v>
      </c>
      <c r="W45" s="17" t="s">
        <v>294</v>
      </c>
    </row>
    <row r="46" customFormat="false" ht="37.5" hidden="false" customHeight="true" outlineLevel="0" collapsed="false">
      <c r="A46" s="15" t="s">
        <v>370</v>
      </c>
      <c r="B46" s="16" t="s">
        <v>371</v>
      </c>
      <c r="C46" s="17" t="s">
        <v>284</v>
      </c>
      <c r="D46" s="17" t="s">
        <v>372</v>
      </c>
      <c r="E46" s="17"/>
      <c r="F46" s="15"/>
      <c r="G46" s="15"/>
      <c r="H46" s="17" t="s">
        <v>373</v>
      </c>
      <c r="I46" s="17"/>
      <c r="J46" s="17"/>
      <c r="K46" s="17"/>
      <c r="L46" s="20"/>
      <c r="M46" s="19"/>
      <c r="N46" s="20"/>
      <c r="O46" s="20"/>
      <c r="P46" s="20"/>
      <c r="Q46" s="24" t="s">
        <v>58</v>
      </c>
      <c r="R46" s="20" t="s">
        <v>60</v>
      </c>
      <c r="S46" s="17" t="s">
        <v>374</v>
      </c>
      <c r="T46" s="17" t="s">
        <v>375</v>
      </c>
      <c r="U46" s="17" t="s">
        <v>265</v>
      </c>
      <c r="V46" s="21" t="s">
        <v>376</v>
      </c>
      <c r="W46" s="17" t="s">
        <v>377</v>
      </c>
    </row>
    <row r="47" customFormat="false" ht="14.25" hidden="false" customHeight="true" outlineLevel="0" collapsed="false">
      <c r="A47" s="13" t="s">
        <v>378</v>
      </c>
      <c r="B47" s="14"/>
      <c r="C47" s="14"/>
      <c r="D47" s="14"/>
      <c r="E47" s="14"/>
      <c r="F47" s="14"/>
      <c r="G47" s="14"/>
      <c r="H47" s="14"/>
      <c r="I47" s="14"/>
      <c r="J47" s="14"/>
      <c r="K47" s="14"/>
      <c r="L47" s="14"/>
      <c r="M47" s="14"/>
      <c r="N47" s="14"/>
      <c r="O47" s="14"/>
      <c r="P47" s="14"/>
      <c r="Q47" s="14"/>
      <c r="R47" s="14"/>
      <c r="S47" s="14"/>
      <c r="T47" s="14"/>
      <c r="U47" s="14"/>
      <c r="V47" s="14"/>
      <c r="W47" s="14"/>
    </row>
    <row r="48" customFormat="false" ht="25.5" hidden="false" customHeight="true" outlineLevel="0" collapsed="false">
      <c r="A48" s="15" t="s">
        <v>379</v>
      </c>
      <c r="B48" s="16" t="s">
        <v>380</v>
      </c>
      <c r="C48" s="17" t="s">
        <v>381</v>
      </c>
      <c r="D48" s="17" t="s">
        <v>382</v>
      </c>
      <c r="E48" s="17" t="s">
        <v>383</v>
      </c>
      <c r="F48" s="15" t="n">
        <v>2026</v>
      </c>
      <c r="G48" s="15" t="n">
        <v>2026</v>
      </c>
      <c r="H48" s="17" t="s">
        <v>384</v>
      </c>
      <c r="I48" s="17"/>
      <c r="J48" s="17" t="s">
        <v>382</v>
      </c>
      <c r="K48" s="17"/>
      <c r="L48" s="20"/>
      <c r="M48" s="20"/>
      <c r="N48" s="20"/>
      <c r="O48" s="25" t="s">
        <v>58</v>
      </c>
      <c r="P48" s="22" t="s">
        <v>59</v>
      </c>
      <c r="Q48" s="20"/>
      <c r="R48" s="20" t="s">
        <v>60</v>
      </c>
      <c r="S48" s="17" t="s">
        <v>385</v>
      </c>
      <c r="T48" s="17" t="s">
        <v>386</v>
      </c>
      <c r="U48" s="17" t="s">
        <v>387</v>
      </c>
      <c r="V48" s="21" t="s">
        <v>388</v>
      </c>
      <c r="W48" s="17" t="s">
        <v>389</v>
      </c>
    </row>
    <row r="49" customFormat="false" ht="15" hidden="false" customHeight="true" outlineLevel="0" collapsed="false">
      <c r="A49" s="15" t="s">
        <v>390</v>
      </c>
      <c r="B49" s="16" t="s">
        <v>391</v>
      </c>
      <c r="C49" s="17" t="s">
        <v>381</v>
      </c>
      <c r="D49" s="17" t="s">
        <v>382</v>
      </c>
      <c r="E49" s="17" t="s">
        <v>392</v>
      </c>
      <c r="F49" s="15" t="n">
        <v>2026</v>
      </c>
      <c r="G49" s="15" t="n">
        <v>2026</v>
      </c>
      <c r="H49" s="17" t="s">
        <v>393</v>
      </c>
      <c r="I49" s="17"/>
      <c r="J49" s="17" t="s">
        <v>382</v>
      </c>
      <c r="K49" s="17"/>
      <c r="L49" s="20"/>
      <c r="M49" s="20"/>
      <c r="N49" s="20"/>
      <c r="O49" s="25" t="s">
        <v>58</v>
      </c>
      <c r="P49" s="22" t="s">
        <v>59</v>
      </c>
      <c r="Q49" s="20"/>
      <c r="R49" s="20" t="s">
        <v>60</v>
      </c>
      <c r="S49" s="17" t="s">
        <v>385</v>
      </c>
      <c r="T49" s="17" t="s">
        <v>386</v>
      </c>
      <c r="U49" s="17" t="s">
        <v>387</v>
      </c>
      <c r="V49" s="21" t="s">
        <v>388</v>
      </c>
      <c r="W49" s="17" t="s">
        <v>389</v>
      </c>
    </row>
    <row r="50" customFormat="false" ht="24.75" hidden="false" customHeight="true" outlineLevel="0" collapsed="false">
      <c r="A50" s="15" t="s">
        <v>394</v>
      </c>
      <c r="B50" s="16" t="s">
        <v>395</v>
      </c>
      <c r="C50" s="17" t="s">
        <v>381</v>
      </c>
      <c r="D50" s="17" t="s">
        <v>382</v>
      </c>
      <c r="E50" s="17" t="s">
        <v>396</v>
      </c>
      <c r="F50" s="15" t="s">
        <v>53</v>
      </c>
      <c r="G50" s="15" t="s">
        <v>53</v>
      </c>
      <c r="H50" s="17" t="s">
        <v>397</v>
      </c>
      <c r="I50" s="17"/>
      <c r="J50" s="17" t="s">
        <v>382</v>
      </c>
      <c r="K50" s="17"/>
      <c r="L50" s="20"/>
      <c r="M50" s="20"/>
      <c r="N50" s="20"/>
      <c r="O50" s="25" t="s">
        <v>58</v>
      </c>
      <c r="P50" s="22" t="s">
        <v>59</v>
      </c>
      <c r="Q50" s="20"/>
      <c r="R50" s="20" t="s">
        <v>60</v>
      </c>
      <c r="S50" s="17" t="s">
        <v>385</v>
      </c>
      <c r="T50" s="17" t="s">
        <v>386</v>
      </c>
      <c r="U50" s="17" t="s">
        <v>387</v>
      </c>
      <c r="V50" s="21" t="s">
        <v>388</v>
      </c>
      <c r="W50" s="17" t="s">
        <v>389</v>
      </c>
    </row>
    <row r="51" customFormat="false" ht="15" hidden="false" customHeight="true" outlineLevel="0" collapsed="false">
      <c r="A51" s="15" t="s">
        <v>398</v>
      </c>
      <c r="B51" s="16" t="s">
        <v>399</v>
      </c>
      <c r="C51" s="17" t="s">
        <v>381</v>
      </c>
      <c r="D51" s="17" t="s">
        <v>382</v>
      </c>
      <c r="E51" s="17" t="s">
        <v>400</v>
      </c>
      <c r="F51" s="15" t="s">
        <v>53</v>
      </c>
      <c r="G51" s="15" t="s">
        <v>53</v>
      </c>
      <c r="H51" s="17" t="s">
        <v>401</v>
      </c>
      <c r="I51" s="17"/>
      <c r="J51" s="17" t="s">
        <v>382</v>
      </c>
      <c r="K51" s="17"/>
      <c r="L51" s="20"/>
      <c r="M51" s="20"/>
      <c r="N51" s="20"/>
      <c r="O51" s="25" t="s">
        <v>58</v>
      </c>
      <c r="P51" s="22" t="s">
        <v>59</v>
      </c>
      <c r="Q51" s="20"/>
      <c r="R51" s="20" t="s">
        <v>60</v>
      </c>
      <c r="S51" s="17" t="s">
        <v>385</v>
      </c>
      <c r="T51" s="17" t="s">
        <v>386</v>
      </c>
      <c r="U51" s="17" t="s">
        <v>387</v>
      </c>
      <c r="V51" s="21" t="s">
        <v>388</v>
      </c>
      <c r="W51" s="17" t="s">
        <v>389</v>
      </c>
    </row>
    <row r="52" customFormat="false" ht="25.5" hidden="false" customHeight="true" outlineLevel="0" collapsed="false">
      <c r="A52" s="15" t="s">
        <v>402</v>
      </c>
      <c r="B52" s="16" t="s">
        <v>403</v>
      </c>
      <c r="C52" s="17" t="s">
        <v>381</v>
      </c>
      <c r="D52" s="17" t="s">
        <v>382</v>
      </c>
      <c r="E52" s="17" t="s">
        <v>404</v>
      </c>
      <c r="F52" s="15" t="s">
        <v>53</v>
      </c>
      <c r="G52" s="15" t="s">
        <v>53</v>
      </c>
      <c r="H52" s="17" t="s">
        <v>405</v>
      </c>
      <c r="I52" s="17"/>
      <c r="J52" s="17" t="s">
        <v>382</v>
      </c>
      <c r="K52" s="17"/>
      <c r="L52" s="18"/>
      <c r="M52" s="20"/>
      <c r="N52" s="20"/>
      <c r="O52" s="25" t="s">
        <v>58</v>
      </c>
      <c r="P52" s="22" t="s">
        <v>59</v>
      </c>
      <c r="Q52" s="20"/>
      <c r="R52" s="20" t="s">
        <v>60</v>
      </c>
      <c r="S52" s="17" t="s">
        <v>385</v>
      </c>
      <c r="T52" s="17" t="s">
        <v>386</v>
      </c>
      <c r="U52" s="17" t="s">
        <v>387</v>
      </c>
      <c r="V52" s="21" t="s">
        <v>388</v>
      </c>
      <c r="W52" s="17" t="s">
        <v>389</v>
      </c>
    </row>
    <row r="53" customFormat="false" ht="15" hidden="false" customHeight="true" outlineLevel="0" collapsed="false">
      <c r="A53" s="15" t="s">
        <v>406</v>
      </c>
      <c r="B53" s="16" t="s">
        <v>407</v>
      </c>
      <c r="C53" s="17" t="s">
        <v>381</v>
      </c>
      <c r="D53" s="17" t="s">
        <v>382</v>
      </c>
      <c r="E53" s="17" t="s">
        <v>408</v>
      </c>
      <c r="F53" s="15" t="n">
        <v>2024</v>
      </c>
      <c r="G53" s="15" t="n">
        <v>2024</v>
      </c>
      <c r="H53" s="17" t="s">
        <v>409</v>
      </c>
      <c r="I53" s="17"/>
      <c r="J53" s="17" t="s">
        <v>382</v>
      </c>
      <c r="K53" s="17"/>
      <c r="L53" s="20"/>
      <c r="M53" s="20"/>
      <c r="N53" s="20"/>
      <c r="O53" s="25" t="s">
        <v>58</v>
      </c>
      <c r="P53" s="22" t="s">
        <v>59</v>
      </c>
      <c r="Q53" s="20"/>
      <c r="R53" s="20" t="s">
        <v>60</v>
      </c>
      <c r="S53" s="17" t="s">
        <v>385</v>
      </c>
      <c r="T53" s="17" t="s">
        <v>386</v>
      </c>
      <c r="U53" s="17" t="s">
        <v>387</v>
      </c>
      <c r="V53" s="21" t="s">
        <v>388</v>
      </c>
      <c r="W53" s="17" t="s">
        <v>389</v>
      </c>
    </row>
    <row r="54" customFormat="false" ht="15" hidden="false" customHeight="true" outlineLevel="0" collapsed="false">
      <c r="A54" s="15" t="s">
        <v>410</v>
      </c>
      <c r="B54" s="16" t="s">
        <v>411</v>
      </c>
      <c r="C54" s="17" t="s">
        <v>381</v>
      </c>
      <c r="D54" s="17" t="s">
        <v>382</v>
      </c>
      <c r="E54" s="17" t="s">
        <v>412</v>
      </c>
      <c r="F54" s="15" t="n">
        <v>2023</v>
      </c>
      <c r="G54" s="15" t="n">
        <v>2023</v>
      </c>
      <c r="H54" s="17" t="s">
        <v>413</v>
      </c>
      <c r="I54" s="17"/>
      <c r="J54" s="17" t="s">
        <v>382</v>
      </c>
      <c r="K54" s="17"/>
      <c r="L54" s="20"/>
      <c r="M54" s="20"/>
      <c r="N54" s="20"/>
      <c r="O54" s="25" t="s">
        <v>58</v>
      </c>
      <c r="P54" s="22" t="s">
        <v>59</v>
      </c>
      <c r="Q54" s="20"/>
      <c r="R54" s="20" t="s">
        <v>60</v>
      </c>
      <c r="S54" s="17" t="s">
        <v>385</v>
      </c>
      <c r="T54" s="17" t="s">
        <v>386</v>
      </c>
      <c r="U54" s="17" t="s">
        <v>387</v>
      </c>
      <c r="V54" s="21" t="s">
        <v>388</v>
      </c>
      <c r="W54" s="17" t="s">
        <v>389</v>
      </c>
    </row>
    <row r="55" customFormat="false" ht="15" hidden="false" customHeight="true" outlineLevel="0" collapsed="false">
      <c r="A55" s="15" t="s">
        <v>414</v>
      </c>
      <c r="B55" s="16" t="s">
        <v>415</v>
      </c>
      <c r="C55" s="17" t="s">
        <v>381</v>
      </c>
      <c r="D55" s="17" t="s">
        <v>382</v>
      </c>
      <c r="E55" s="17" t="s">
        <v>416</v>
      </c>
      <c r="F55" s="15" t="n">
        <v>2023</v>
      </c>
      <c r="G55" s="15" t="n">
        <v>2023</v>
      </c>
      <c r="H55" s="17" t="s">
        <v>405</v>
      </c>
      <c r="I55" s="17"/>
      <c r="J55" s="17" t="s">
        <v>382</v>
      </c>
      <c r="K55" s="17"/>
      <c r="L55" s="20"/>
      <c r="M55" s="20"/>
      <c r="N55" s="20"/>
      <c r="O55" s="25" t="s">
        <v>58</v>
      </c>
      <c r="P55" s="22" t="s">
        <v>59</v>
      </c>
      <c r="Q55" s="20"/>
      <c r="R55" s="20" t="s">
        <v>60</v>
      </c>
      <c r="S55" s="17" t="s">
        <v>385</v>
      </c>
      <c r="T55" s="17" t="s">
        <v>386</v>
      </c>
      <c r="U55" s="17" t="s">
        <v>387</v>
      </c>
      <c r="V55" s="21" t="s">
        <v>388</v>
      </c>
      <c r="W55" s="17" t="s">
        <v>389</v>
      </c>
    </row>
    <row r="56" customFormat="false" ht="15" hidden="false" customHeight="true" outlineLevel="0" collapsed="false">
      <c r="A56" s="15" t="s">
        <v>417</v>
      </c>
      <c r="B56" s="16" t="s">
        <v>418</v>
      </c>
      <c r="C56" s="17" t="s">
        <v>381</v>
      </c>
      <c r="D56" s="17" t="s">
        <v>382</v>
      </c>
      <c r="E56" s="17" t="s">
        <v>400</v>
      </c>
      <c r="F56" s="15" t="n">
        <v>2022</v>
      </c>
      <c r="G56" s="15" t="n">
        <v>2022</v>
      </c>
      <c r="H56" s="17" t="s">
        <v>419</v>
      </c>
      <c r="I56" s="17"/>
      <c r="J56" s="17" t="s">
        <v>382</v>
      </c>
      <c r="K56" s="17"/>
      <c r="L56" s="20"/>
      <c r="M56" s="20"/>
      <c r="N56" s="20"/>
      <c r="O56" s="25" t="s">
        <v>58</v>
      </c>
      <c r="P56" s="22" t="s">
        <v>59</v>
      </c>
      <c r="Q56" s="20"/>
      <c r="R56" s="20" t="s">
        <v>60</v>
      </c>
      <c r="S56" s="17" t="s">
        <v>385</v>
      </c>
      <c r="T56" s="17" t="s">
        <v>386</v>
      </c>
      <c r="U56" s="17" t="s">
        <v>387</v>
      </c>
      <c r="V56" s="21" t="s">
        <v>388</v>
      </c>
      <c r="W56" s="17" t="s">
        <v>389</v>
      </c>
    </row>
    <row r="57" customFormat="false" ht="15" hidden="false" customHeight="true" outlineLevel="0" collapsed="false">
      <c r="A57" s="15" t="s">
        <v>420</v>
      </c>
      <c r="B57" s="16" t="s">
        <v>421</v>
      </c>
      <c r="C57" s="17" t="s">
        <v>381</v>
      </c>
      <c r="D57" s="17" t="s">
        <v>382</v>
      </c>
      <c r="E57" s="17" t="s">
        <v>422</v>
      </c>
      <c r="F57" s="15" t="n">
        <v>2021</v>
      </c>
      <c r="G57" s="15" t="n">
        <v>2021</v>
      </c>
      <c r="H57" s="17" t="s">
        <v>419</v>
      </c>
      <c r="I57" s="17"/>
      <c r="J57" s="17" t="s">
        <v>382</v>
      </c>
      <c r="K57" s="17"/>
      <c r="L57" s="20"/>
      <c r="M57" s="20"/>
      <c r="N57" s="20"/>
      <c r="O57" s="25" t="s">
        <v>58</v>
      </c>
      <c r="P57" s="22" t="s">
        <v>59</v>
      </c>
      <c r="Q57" s="20"/>
      <c r="R57" s="20" t="s">
        <v>60</v>
      </c>
      <c r="S57" s="17" t="s">
        <v>385</v>
      </c>
      <c r="T57" s="17" t="s">
        <v>386</v>
      </c>
      <c r="U57" s="17" t="s">
        <v>387</v>
      </c>
      <c r="V57" s="21" t="s">
        <v>388</v>
      </c>
      <c r="W57" s="17" t="s">
        <v>389</v>
      </c>
    </row>
    <row r="58" customFormat="false" ht="15" hidden="false" customHeight="true" outlineLevel="0" collapsed="false">
      <c r="A58" s="15" t="s">
        <v>423</v>
      </c>
      <c r="B58" s="16" t="s">
        <v>424</v>
      </c>
      <c r="C58" s="17" t="s">
        <v>381</v>
      </c>
      <c r="D58" s="17" t="s">
        <v>382</v>
      </c>
      <c r="E58" s="17" t="s">
        <v>425</v>
      </c>
      <c r="F58" s="15" t="n">
        <v>2022</v>
      </c>
      <c r="G58" s="15" t="n">
        <v>2022</v>
      </c>
      <c r="H58" s="17" t="s">
        <v>426</v>
      </c>
      <c r="I58" s="17"/>
      <c r="J58" s="17" t="s">
        <v>382</v>
      </c>
      <c r="K58" s="17"/>
      <c r="L58" s="20"/>
      <c r="M58" s="20"/>
      <c r="N58" s="20"/>
      <c r="O58" s="25" t="s">
        <v>58</v>
      </c>
      <c r="P58" s="22" t="s">
        <v>59</v>
      </c>
      <c r="Q58" s="20"/>
      <c r="R58" s="20" t="s">
        <v>60</v>
      </c>
      <c r="S58" s="17" t="s">
        <v>385</v>
      </c>
      <c r="T58" s="17" t="s">
        <v>386</v>
      </c>
      <c r="U58" s="17" t="s">
        <v>387</v>
      </c>
      <c r="V58" s="21"/>
      <c r="W58" s="17" t="s">
        <v>389</v>
      </c>
    </row>
    <row r="59" customFormat="false" ht="14.25" hidden="false" customHeight="true" outlineLevel="0" collapsed="false">
      <c r="A59" s="13" t="s">
        <v>427</v>
      </c>
      <c r="B59" s="14"/>
      <c r="C59" s="14"/>
      <c r="D59" s="14"/>
      <c r="E59" s="14"/>
      <c r="F59" s="14"/>
      <c r="G59" s="14"/>
      <c r="H59" s="14"/>
      <c r="I59" s="14"/>
      <c r="J59" s="14"/>
      <c r="K59" s="14"/>
      <c r="L59" s="14"/>
      <c r="M59" s="14"/>
      <c r="N59" s="14"/>
      <c r="O59" s="14"/>
      <c r="P59" s="14"/>
      <c r="Q59" s="14"/>
      <c r="R59" s="14"/>
      <c r="S59" s="14"/>
      <c r="T59" s="14"/>
      <c r="U59" s="14"/>
      <c r="V59" s="14"/>
      <c r="W59" s="14"/>
    </row>
    <row r="60" customFormat="false" ht="24.75" hidden="false" customHeight="true" outlineLevel="0" collapsed="false">
      <c r="A60" s="15" t="s">
        <v>428</v>
      </c>
      <c r="B60" s="16" t="s">
        <v>429</v>
      </c>
      <c r="C60" s="17" t="s">
        <v>430</v>
      </c>
      <c r="D60" s="17" t="s">
        <v>431</v>
      </c>
      <c r="E60" s="17" t="s">
        <v>429</v>
      </c>
      <c r="F60" s="15"/>
      <c r="G60" s="15"/>
      <c r="H60" s="17" t="s">
        <v>432</v>
      </c>
      <c r="I60" s="17"/>
      <c r="J60" s="17"/>
      <c r="K60" s="17"/>
      <c r="L60" s="18" t="s">
        <v>59</v>
      </c>
      <c r="M60" s="20"/>
      <c r="N60" s="20"/>
      <c r="O60" s="20"/>
      <c r="P60" s="22" t="s">
        <v>58</v>
      </c>
      <c r="Q60" s="20"/>
      <c r="R60" s="20" t="s">
        <v>60</v>
      </c>
      <c r="S60" s="17" t="s">
        <v>433</v>
      </c>
      <c r="T60" s="17" t="s">
        <v>62</v>
      </c>
      <c r="U60" s="17"/>
      <c r="V60" s="21" t="s">
        <v>434</v>
      </c>
      <c r="W60" s="17" t="s">
        <v>435</v>
      </c>
    </row>
    <row r="61" customFormat="false" ht="24.75" hidden="false" customHeight="true" outlineLevel="0" collapsed="false">
      <c r="A61" s="15" t="s">
        <v>436</v>
      </c>
      <c r="B61" s="16" t="s">
        <v>107</v>
      </c>
      <c r="C61" s="17" t="s">
        <v>430</v>
      </c>
      <c r="D61" s="17" t="s">
        <v>437</v>
      </c>
      <c r="E61" s="17" t="s">
        <v>107</v>
      </c>
      <c r="F61" s="15" t="s">
        <v>108</v>
      </c>
      <c r="G61" s="15" t="s">
        <v>90</v>
      </c>
      <c r="H61" s="17" t="s">
        <v>438</v>
      </c>
      <c r="I61" s="17"/>
      <c r="J61" s="17"/>
      <c r="K61" s="17"/>
      <c r="L61" s="18" t="s">
        <v>59</v>
      </c>
      <c r="M61" s="20"/>
      <c r="N61" s="20"/>
      <c r="O61" s="20"/>
      <c r="P61" s="22" t="s">
        <v>58</v>
      </c>
      <c r="Q61" s="20"/>
      <c r="R61" s="20" t="s">
        <v>60</v>
      </c>
      <c r="S61" s="17" t="s">
        <v>433</v>
      </c>
      <c r="T61" s="17" t="s">
        <v>62</v>
      </c>
      <c r="U61" s="17"/>
      <c r="V61" s="21" t="s">
        <v>439</v>
      </c>
      <c r="W61" s="17" t="s">
        <v>435</v>
      </c>
    </row>
    <row r="62" customFormat="false" ht="24.75" hidden="false" customHeight="true" outlineLevel="0" collapsed="false">
      <c r="A62" s="15" t="s">
        <v>440</v>
      </c>
      <c r="B62" s="16" t="s">
        <v>89</v>
      </c>
      <c r="C62" s="17" t="s">
        <v>430</v>
      </c>
      <c r="D62" s="17" t="s">
        <v>441</v>
      </c>
      <c r="E62" s="17" t="s">
        <v>89</v>
      </c>
      <c r="F62" s="15" t="s">
        <v>90</v>
      </c>
      <c r="G62" s="15" t="s">
        <v>81</v>
      </c>
      <c r="H62" s="17" t="s">
        <v>442</v>
      </c>
      <c r="I62" s="17"/>
      <c r="J62" s="17"/>
      <c r="K62" s="17"/>
      <c r="L62" s="18" t="s">
        <v>59</v>
      </c>
      <c r="M62" s="20"/>
      <c r="N62" s="20"/>
      <c r="O62" s="20"/>
      <c r="P62" s="22" t="s">
        <v>58</v>
      </c>
      <c r="Q62" s="20"/>
      <c r="R62" s="20" t="s">
        <v>60</v>
      </c>
      <c r="S62" s="17" t="s">
        <v>433</v>
      </c>
      <c r="T62" s="17" t="s">
        <v>62</v>
      </c>
      <c r="U62" s="17"/>
      <c r="V62" s="21" t="s">
        <v>443</v>
      </c>
      <c r="W62" s="17" t="s">
        <v>435</v>
      </c>
    </row>
    <row r="63" customFormat="false" ht="24.75" hidden="false" customHeight="true" outlineLevel="0" collapsed="false">
      <c r="A63" s="15" t="s">
        <v>444</v>
      </c>
      <c r="B63" s="16" t="s">
        <v>80</v>
      </c>
      <c r="C63" s="17" t="s">
        <v>430</v>
      </c>
      <c r="D63" s="17" t="s">
        <v>445</v>
      </c>
      <c r="E63" s="17" t="s">
        <v>80</v>
      </c>
      <c r="F63" s="15" t="s">
        <v>81</v>
      </c>
      <c r="G63" s="15" t="s">
        <v>70</v>
      </c>
      <c r="H63" s="17" t="s">
        <v>446</v>
      </c>
      <c r="I63" s="17"/>
      <c r="J63" s="17"/>
      <c r="K63" s="17"/>
      <c r="L63" s="18" t="s">
        <v>59</v>
      </c>
      <c r="M63" s="20"/>
      <c r="N63" s="20"/>
      <c r="O63" s="20"/>
      <c r="P63" s="22" t="s">
        <v>58</v>
      </c>
      <c r="Q63" s="20"/>
      <c r="R63" s="20" t="s">
        <v>60</v>
      </c>
      <c r="S63" s="17" t="s">
        <v>433</v>
      </c>
      <c r="T63" s="17" t="s">
        <v>62</v>
      </c>
      <c r="U63" s="17"/>
      <c r="V63" s="21" t="s">
        <v>447</v>
      </c>
      <c r="W63" s="17" t="s">
        <v>435</v>
      </c>
    </row>
    <row r="64" customFormat="false" ht="24.75" hidden="false" customHeight="true" outlineLevel="0" collapsed="false">
      <c r="A64" s="15" t="s">
        <v>448</v>
      </c>
      <c r="B64" s="16" t="s">
        <v>69</v>
      </c>
      <c r="C64" s="17" t="s">
        <v>430</v>
      </c>
      <c r="D64" s="17" t="s">
        <v>449</v>
      </c>
      <c r="E64" s="17" t="s">
        <v>69</v>
      </c>
      <c r="F64" s="15" t="s">
        <v>70</v>
      </c>
      <c r="G64" s="15" t="s">
        <v>71</v>
      </c>
      <c r="H64" s="17" t="s">
        <v>450</v>
      </c>
      <c r="I64" s="17"/>
      <c r="J64" s="17"/>
      <c r="K64" s="17"/>
      <c r="L64" s="18" t="s">
        <v>59</v>
      </c>
      <c r="M64" s="20"/>
      <c r="N64" s="20"/>
      <c r="O64" s="20"/>
      <c r="P64" s="22" t="s">
        <v>58</v>
      </c>
      <c r="Q64" s="20"/>
      <c r="R64" s="20" t="s">
        <v>60</v>
      </c>
      <c r="S64" s="17" t="s">
        <v>433</v>
      </c>
      <c r="T64" s="17" t="s">
        <v>62</v>
      </c>
      <c r="U64" s="17"/>
      <c r="V64" s="21" t="s">
        <v>451</v>
      </c>
      <c r="W64" s="17" t="s">
        <v>435</v>
      </c>
    </row>
    <row r="65" customFormat="false" ht="24.75" hidden="false" customHeight="true" outlineLevel="0" collapsed="false">
      <c r="A65" s="15" t="s">
        <v>452</v>
      </c>
      <c r="B65" s="16" t="s">
        <v>52</v>
      </c>
      <c r="C65" s="17" t="s">
        <v>430</v>
      </c>
      <c r="D65" s="17" t="s">
        <v>453</v>
      </c>
      <c r="E65" s="17" t="s">
        <v>52</v>
      </c>
      <c r="F65" s="15" t="s">
        <v>53</v>
      </c>
      <c r="G65" s="15" t="s">
        <v>54</v>
      </c>
      <c r="H65" s="17" t="s">
        <v>454</v>
      </c>
      <c r="I65" s="17"/>
      <c r="J65" s="17"/>
      <c r="K65" s="17"/>
      <c r="L65" s="18" t="s">
        <v>59</v>
      </c>
      <c r="M65" s="20"/>
      <c r="N65" s="20"/>
      <c r="O65" s="20"/>
      <c r="P65" s="22" t="s">
        <v>58</v>
      </c>
      <c r="Q65" s="20"/>
      <c r="R65" s="20" t="s">
        <v>60</v>
      </c>
      <c r="S65" s="17" t="s">
        <v>433</v>
      </c>
      <c r="T65" s="17" t="s">
        <v>62</v>
      </c>
      <c r="U65" s="17"/>
      <c r="V65" s="21" t="s">
        <v>455</v>
      </c>
      <c r="W65" s="17" t="s">
        <v>435</v>
      </c>
    </row>
  </sheetData>
  <autoFilter ref="A1:W65"/>
  <dataValidations count="2">
    <dataValidation allowBlank="true" errorStyle="stop" operator="between" showDropDown="false" showErrorMessage="false" showInputMessage="false" sqref="L2:Q124" type="list">
      <formula1>"●,○"</formula1>
      <formula2>0</formula2>
    </dataValidation>
    <dataValidation allowBlank="true" errorStyle="stop" operator="between" showDropDown="false" showErrorMessage="false" showInputMessage="false" sqref="R2:R124" type="list">
      <formula1>"Yes,Maybe,Archive,No"</formula1>
      <formula2>0</formula2>
    </dataValidation>
  </dataValidations>
  <hyperlinks>
    <hyperlink ref="K33" r:id="rId2" display="https://contact-flow-web.vercel.app"/>
    <hyperlink ref="K34" r:id="rId3" display="https://job-paper.vercel.app"/>
    <hyperlink ref="K35" r:id="rId4" display="https://collateral-damage.vercel.app"/>
    <hyperlink ref="K36" r:id="rId5" display="https://jaylee-app.vercel.app"/>
    <hyperlink ref="K37" r:id="rId6" display="https://gradient-ui.vercel.app"/>
    <hyperlink ref="K38" r:id="rId7" display="https://gold-star-man.vercel.app"/>
    <hyperlink ref="K43" r:id="rId8" display="https://luminous-horse-8a5278.netlify.app"/>
    <hyperlink ref="K44" r:id="rId9" display="https://strong-paletas-d76f45.netlify.ap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0"/>
  <legacyDrawing r:id="rId1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
  <sheetViews>
    <sheetView showFormulas="false" showGridLines="true" showRowColHeaders="true" showZeros="true" rightToLeft="false" tabSelected="false" showOutlineSymbols="true" defaultGridColor="true" view="normal" topLeftCell="A1" colorId="64" zoomScale="121" zoomScaleNormal="121" zoomScalePageLayoutView="100" workbookViewId="0">
      <selection pane="topLeft" activeCell="C26" activeCellId="0" sqref="C26"/>
    </sheetView>
  </sheetViews>
  <sheetFormatPr defaultColWidth="8.6328125" defaultRowHeight="14.25" zeroHeight="false" outlineLevelRow="0" outlineLevelCol="0"/>
  <cols>
    <col collapsed="false" customWidth="true" hidden="false" outlineLevel="0" max="1" min="1" style="1" width="16"/>
    <col collapsed="false" customWidth="true" hidden="false" outlineLevel="0" max="2" min="2" style="1" width="10"/>
    <col collapsed="false" customWidth="true" hidden="false" outlineLevel="0" max="3" min="3" style="1" width="15"/>
    <col collapsed="false" customWidth="true" hidden="false" outlineLevel="0" max="4" min="4" style="1" width="20"/>
    <col collapsed="false" customWidth="true" hidden="false" outlineLevel="0" max="6" min="5" style="1" width="11"/>
    <col collapsed="false" customWidth="true" hidden="false" outlineLevel="0" max="7" min="7" style="1" width="10"/>
    <col collapsed="false" customWidth="true" hidden="false" outlineLevel="0" max="8" min="8" style="1" width="40"/>
  </cols>
  <sheetData>
    <row r="1" customFormat="false" ht="14.25" hidden="false" customHeight="true" outlineLevel="0" collapsed="false">
      <c r="A1" s="27" t="s">
        <v>456</v>
      </c>
      <c r="B1" s="27" t="s">
        <v>457</v>
      </c>
      <c r="C1" s="27" t="s">
        <v>458</v>
      </c>
      <c r="D1" s="27" t="s">
        <v>459</v>
      </c>
      <c r="E1" s="27" t="s">
        <v>460</v>
      </c>
      <c r="F1" s="27" t="s">
        <v>461</v>
      </c>
      <c r="G1" s="27" t="s">
        <v>462</v>
      </c>
      <c r="H1" s="27" t="s">
        <v>463</v>
      </c>
    </row>
    <row r="2" customFormat="false" ht="14.25" hidden="false" customHeight="true" outlineLevel="0" collapsed="false">
      <c r="A2" s="28" t="s">
        <v>35</v>
      </c>
      <c r="B2" s="29" t="n">
        <f aca="false">COUNTIF(Artifacts!$L$2:$L$124,"●")</f>
        <v>7</v>
      </c>
      <c r="C2" s="29" t="n">
        <f aca="false">COUNTIF(Artifacts!$L$2:$L$124,"●")+COUNTIF(Artifacts!$L$2:$L$124,"○")</f>
        <v>20</v>
      </c>
      <c r="D2" s="29" t="n">
        <f aca="false">COUNTIFS(Artifacts!$L$2:$L$124,"●",Artifacts!$R$2:$R$124,"Yes")</f>
        <v>4</v>
      </c>
      <c r="E2" s="30" t="n">
        <v>6</v>
      </c>
      <c r="F2" s="30" t="n">
        <v>8</v>
      </c>
      <c r="G2" s="29" t="str">
        <f aca="false">IF(D2&lt;E2,"Add",IF(D2&gt;F2,"Trim","OK"))</f>
        <v>Add</v>
      </c>
      <c r="H2" s="29" t="s">
        <v>464</v>
      </c>
    </row>
    <row r="3" customFormat="false" ht="14.25" hidden="false" customHeight="true" outlineLevel="0" collapsed="false">
      <c r="A3" s="28" t="s">
        <v>36</v>
      </c>
      <c r="B3" s="29" t="n">
        <f aca="false">COUNTIF(Artifacts!$M$2:$M$124,"●")</f>
        <v>11</v>
      </c>
      <c r="C3" s="29" t="n">
        <f aca="false">COUNTIF(Artifacts!$M$2:$M$124,"●")+COUNTIF(Artifacts!$M$2:$M$124,"○")</f>
        <v>24</v>
      </c>
      <c r="D3" s="29" t="n">
        <f aca="false">COUNTIFS(Artifacts!$M$2:$M$124,"●",Artifacts!$R$2:$R$124,"Yes")</f>
        <v>7</v>
      </c>
      <c r="E3" s="30" t="n">
        <v>3</v>
      </c>
      <c r="F3" s="30" t="n">
        <v>7</v>
      </c>
      <c r="G3" s="29" t="str">
        <f aca="false">IF(D3&lt;E3,"Add",IF(D3&gt;F3,"Trim","OK"))</f>
        <v>OK</v>
      </c>
      <c r="H3" s="29" t="s">
        <v>465</v>
      </c>
    </row>
    <row r="4" customFormat="false" ht="14.25" hidden="false" customHeight="true" outlineLevel="0" collapsed="false">
      <c r="A4" s="28" t="s">
        <v>37</v>
      </c>
      <c r="B4" s="29" t="n">
        <f aca="false">COUNTIF(Artifacts!$N$2:$N$124,"●")</f>
        <v>6</v>
      </c>
      <c r="C4" s="29" t="n">
        <f aca="false">COUNTIF(Artifacts!$N$2:$N$124,"●")+COUNTIF(Artifacts!$N$2:$N$124,"○")</f>
        <v>14</v>
      </c>
      <c r="D4" s="29" t="n">
        <f aca="false">COUNTIFS(Artifacts!$N$2:$N$124,"●",Artifacts!$R$2:$R$124,"Yes")</f>
        <v>6</v>
      </c>
      <c r="E4" s="30" t="n">
        <v>4</v>
      </c>
      <c r="F4" s="30" t="n">
        <v>6</v>
      </c>
      <c r="G4" s="29" t="str">
        <f aca="false">IF(D4&lt;E4,"Add",IF(D4&gt;F4,"Trim","OK"))</f>
        <v>OK</v>
      </c>
      <c r="H4" s="29" t="s">
        <v>466</v>
      </c>
    </row>
    <row r="5" customFormat="false" ht="14.25" hidden="false" customHeight="true" outlineLevel="0" collapsed="false">
      <c r="A5" s="28" t="s">
        <v>38</v>
      </c>
      <c r="B5" s="29" t="n">
        <f aca="false">COUNTIF(Artifacts!$O$2:$O$124,"●")</f>
        <v>11</v>
      </c>
      <c r="C5" s="29" t="n">
        <f aca="false">COUNTIF(Artifacts!$O$2:$O$124,"●")+COUNTIF(Artifacts!$O$2:$O$124,"○")</f>
        <v>17</v>
      </c>
      <c r="D5" s="29" t="n">
        <f aca="false">COUNTIFS(Artifacts!$O$2:$O$124,"●",Artifacts!$R$2:$R$124,"Yes")</f>
        <v>11</v>
      </c>
      <c r="E5" s="30" t="n">
        <v>3</v>
      </c>
      <c r="F5" s="30" t="n">
        <v>12</v>
      </c>
      <c r="G5" s="29" t="str">
        <f aca="false">IF(D5&lt;E5,"Add",IF(D5&gt;F5,"Trim","OK"))</f>
        <v>OK</v>
      </c>
      <c r="H5" s="29" t="s">
        <v>467</v>
      </c>
    </row>
    <row r="6" customFormat="false" ht="14.25" hidden="false" customHeight="true" outlineLevel="0" collapsed="false">
      <c r="A6" s="28" t="s">
        <v>39</v>
      </c>
      <c r="B6" s="29" t="n">
        <f aca="false">COUNTIF(Artifacts!$P$2:$P$124,"●")</f>
        <v>6</v>
      </c>
      <c r="C6" s="29" t="n">
        <f aca="false">COUNTIF(Artifacts!$P$2:$P$124,"●")+COUNTIF(Artifacts!$P$2:$P$124,"○")</f>
        <v>24</v>
      </c>
      <c r="D6" s="29" t="n">
        <f aca="false">COUNTIFS(Artifacts!$P$2:$P$124,"●",Artifacts!$R$2:$R$124,"Yes")</f>
        <v>6</v>
      </c>
      <c r="E6" s="30" t="n">
        <v>6</v>
      </c>
      <c r="F6" s="30" t="n">
        <v>12</v>
      </c>
      <c r="G6" s="29" t="str">
        <f aca="false">IF(D6&lt;E6,"Add",IF(D6&gt;F6,"Trim","OK"))</f>
        <v>OK</v>
      </c>
      <c r="H6" s="29" t="s">
        <v>468</v>
      </c>
    </row>
    <row r="7" customFormat="false" ht="14.25" hidden="false" customHeight="true" outlineLevel="0" collapsed="false">
      <c r="A7" s="28" t="s">
        <v>40</v>
      </c>
      <c r="B7" s="29" t="n">
        <f aca="false">COUNTIF(Artifacts!$Q$2:$Q$124,"●")</f>
        <v>14</v>
      </c>
      <c r="C7" s="29" t="n">
        <f aca="false">COUNTIF(Artifacts!$Q$2:$Q$124,"●")+COUNTIF(Artifacts!$Q$2:$Q$124,"○")</f>
        <v>16</v>
      </c>
      <c r="D7" s="29" t="n">
        <f aca="false">COUNTIFS(Artifacts!$Q$2:$Q$124,"●",Artifacts!$R$2:$R$124,"Yes")</f>
        <v>7</v>
      </c>
      <c r="E7" s="30" t="n">
        <v>2</v>
      </c>
      <c r="F7" s="30" t="n">
        <v>6</v>
      </c>
      <c r="G7" s="29" t="str">
        <f aca="false">IF(D7&lt;E7,"Add",IF(D7&gt;F7,"Trim","OK"))</f>
        <v>Trim</v>
      </c>
      <c r="H7" s="29" t="s">
        <v>469</v>
      </c>
    </row>
    <row r="8" customFormat="false" ht="14.25" hidden="false" customHeight="true" outlineLevel="0" collapsed="false">
      <c r="A8" s="28"/>
      <c r="B8" s="29"/>
      <c r="C8" s="29"/>
      <c r="D8" s="29"/>
      <c r="E8" s="29"/>
      <c r="F8" s="29"/>
      <c r="G8" s="29"/>
      <c r="H8" s="29"/>
    </row>
    <row r="9" customFormat="false" ht="14.25" hidden="false" customHeight="true" outlineLevel="0" collapsed="false">
      <c r="A9" s="28" t="s">
        <v>470</v>
      </c>
      <c r="B9" s="29" t="n">
        <f aca="false">COUNTA(Artifacts!$C$2:$C$124)</f>
        <v>56</v>
      </c>
      <c r="C9" s="29"/>
      <c r="D9" s="29"/>
      <c r="E9" s="29"/>
      <c r="F9" s="29"/>
      <c r="G9" s="29"/>
      <c r="H9" s="29"/>
    </row>
    <row r="11" customFormat="false" ht="14.25" hidden="false" customHeight="true" outlineLevel="0" collapsed="false">
      <c r="A11" s="31" t="s">
        <v>471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7" activeCellId="0" sqref="A27"/>
    </sheetView>
  </sheetViews>
  <sheetFormatPr defaultColWidth="8.6328125" defaultRowHeight="14.25" zeroHeight="false" outlineLevelRow="0" outlineLevelCol="0"/>
  <cols>
    <col collapsed="false" customWidth="true" hidden="false" outlineLevel="0" max="1" min="1" style="1" width="28"/>
    <col collapsed="false" customWidth="true" hidden="false" outlineLevel="0" max="2" min="2" style="1" width="20"/>
    <col collapsed="false" customWidth="true" hidden="false" outlineLevel="0" max="3" min="3" style="1" width="14"/>
    <col collapsed="false" customWidth="true" hidden="false" outlineLevel="0" max="4" min="4" style="1" width="8"/>
    <col collapsed="false" customWidth="true" hidden="false" outlineLevel="0" max="5" min="5" style="1" width="9"/>
    <col collapsed="false" customWidth="true" hidden="false" outlineLevel="0" max="6" min="6" style="1" width="40"/>
    <col collapsed="false" customWidth="true" hidden="false" outlineLevel="0" max="7" min="7" style="1" width="8"/>
    <col collapsed="false" customWidth="true" hidden="false" outlineLevel="0" max="8" min="8" style="1" width="9"/>
    <col collapsed="false" customWidth="true" hidden="false" outlineLevel="0" max="9" min="9" style="1" width="13"/>
    <col collapsed="false" customWidth="true" hidden="false" outlineLevel="0" max="10" min="10" style="1" width="30"/>
  </cols>
  <sheetData>
    <row r="1" customFormat="false" ht="14.25" hidden="false" customHeight="true" outlineLevel="0" collapsed="false">
      <c r="A1" s="27" t="s">
        <v>472</v>
      </c>
      <c r="B1" s="27" t="s">
        <v>473</v>
      </c>
      <c r="C1" s="27" t="s">
        <v>474</v>
      </c>
      <c r="D1" s="27" t="s">
        <v>475</v>
      </c>
      <c r="E1" s="27" t="s">
        <v>476</v>
      </c>
      <c r="F1" s="27" t="s">
        <v>477</v>
      </c>
      <c r="G1" s="27" t="s">
        <v>478</v>
      </c>
      <c r="H1" s="27" t="s">
        <v>479</v>
      </c>
      <c r="I1" s="27" t="s">
        <v>480</v>
      </c>
      <c r="J1" s="27" t="s">
        <v>463</v>
      </c>
    </row>
    <row r="2" customFormat="false" ht="14.25" hidden="false" customHeight="true" outlineLevel="0" collapsed="false">
      <c r="A2" s="16" t="s">
        <v>429</v>
      </c>
      <c r="B2" s="17" t="s">
        <v>481</v>
      </c>
      <c r="C2" s="17" t="s">
        <v>449</v>
      </c>
      <c r="D2" s="17"/>
      <c r="E2" s="17" t="s">
        <v>108</v>
      </c>
      <c r="F2" s="17" t="s">
        <v>431</v>
      </c>
      <c r="G2" s="17" t="n">
        <v>42.08</v>
      </c>
      <c r="H2" s="17" t="n">
        <v>-87.72</v>
      </c>
      <c r="I2" s="21" t="s">
        <v>60</v>
      </c>
      <c r="J2" s="21" t="s">
        <v>482</v>
      </c>
    </row>
    <row r="3" customFormat="false" ht="14.25" hidden="false" customHeight="true" outlineLevel="0" collapsed="false">
      <c r="A3" s="16" t="s">
        <v>107</v>
      </c>
      <c r="B3" s="17" t="s">
        <v>481</v>
      </c>
      <c r="C3" s="17" t="s">
        <v>449</v>
      </c>
      <c r="D3" s="17" t="s">
        <v>108</v>
      </c>
      <c r="E3" s="17" t="s">
        <v>90</v>
      </c>
      <c r="F3" s="17" t="s">
        <v>106</v>
      </c>
      <c r="G3" s="17" t="n">
        <v>38.97</v>
      </c>
      <c r="H3" s="17" t="n">
        <v>-95.24</v>
      </c>
      <c r="I3" s="21" t="s">
        <v>60</v>
      </c>
      <c r="J3" s="21" t="s">
        <v>483</v>
      </c>
    </row>
    <row r="4" customFormat="false" ht="14.25" hidden="false" customHeight="true" outlineLevel="0" collapsed="false">
      <c r="A4" s="16" t="s">
        <v>89</v>
      </c>
      <c r="B4" s="17" t="s">
        <v>481</v>
      </c>
      <c r="C4" s="17" t="s">
        <v>441</v>
      </c>
      <c r="D4" s="17" t="s">
        <v>90</v>
      </c>
      <c r="E4" s="17" t="s">
        <v>81</v>
      </c>
      <c r="F4" s="17" t="s">
        <v>484</v>
      </c>
      <c r="G4" s="17" t="n">
        <v>41.88</v>
      </c>
      <c r="H4" s="17" t="n">
        <v>-87.63</v>
      </c>
      <c r="I4" s="21" t="s">
        <v>60</v>
      </c>
      <c r="J4" s="21" t="s">
        <v>483</v>
      </c>
    </row>
    <row r="5" customFormat="false" ht="14.25" hidden="false" customHeight="true" outlineLevel="0" collapsed="false">
      <c r="A5" s="16" t="s">
        <v>485</v>
      </c>
      <c r="B5" s="17" t="s">
        <v>422</v>
      </c>
      <c r="C5" s="17" t="s">
        <v>449</v>
      </c>
      <c r="D5" s="17" t="s">
        <v>81</v>
      </c>
      <c r="E5" s="17" t="s">
        <v>70</v>
      </c>
      <c r="F5" s="17" t="s">
        <v>486</v>
      </c>
      <c r="G5" s="17" t="n">
        <v>45.46</v>
      </c>
      <c r="H5" s="17" t="n">
        <v>9.19</v>
      </c>
      <c r="I5" s="21" t="s">
        <v>60</v>
      </c>
      <c r="J5" s="21" t="s">
        <v>483</v>
      </c>
    </row>
    <row r="6" customFormat="false" ht="23.25" hidden="false" customHeight="true" outlineLevel="0" collapsed="false">
      <c r="A6" s="16" t="s">
        <v>69</v>
      </c>
      <c r="B6" s="17" t="s">
        <v>481</v>
      </c>
      <c r="C6" s="17" t="s">
        <v>449</v>
      </c>
      <c r="D6" s="17" t="s">
        <v>70</v>
      </c>
      <c r="E6" s="17" t="s">
        <v>53</v>
      </c>
      <c r="F6" s="17" t="s">
        <v>487</v>
      </c>
      <c r="G6" s="17" t="n">
        <v>32.78</v>
      </c>
      <c r="H6" s="17" t="n">
        <v>-96.8</v>
      </c>
      <c r="I6" s="21" t="s">
        <v>60</v>
      </c>
      <c r="J6" s="21" t="s">
        <v>488</v>
      </c>
    </row>
    <row r="7" customFormat="false" ht="14.25" hidden="false" customHeight="true" outlineLevel="0" collapsed="false">
      <c r="A7" s="16" t="s">
        <v>52</v>
      </c>
      <c r="B7" s="17" t="s">
        <v>481</v>
      </c>
      <c r="C7" s="17" t="s">
        <v>453</v>
      </c>
      <c r="D7" s="17" t="s">
        <v>53</v>
      </c>
      <c r="E7" s="17" t="s">
        <v>54</v>
      </c>
      <c r="F7" s="17" t="s">
        <v>489</v>
      </c>
      <c r="G7" s="17" t="n">
        <v>30.27</v>
      </c>
      <c r="H7" s="17" t="n">
        <v>-97.74</v>
      </c>
      <c r="I7" s="21" t="s">
        <v>60</v>
      </c>
      <c r="J7" s="21" t="s">
        <v>490</v>
      </c>
    </row>
    <row r="8" customFormat="false" ht="24.75" hidden="false" customHeight="true" outlineLevel="0" collapsed="false">
      <c r="A8" s="16" t="s">
        <v>148</v>
      </c>
      <c r="B8" s="17" t="s">
        <v>481</v>
      </c>
      <c r="C8" s="17" t="s">
        <v>491</v>
      </c>
      <c r="D8" s="17"/>
      <c r="E8" s="17"/>
      <c r="F8" s="17" t="s">
        <v>492</v>
      </c>
      <c r="G8" s="17" t="n">
        <v>29.76</v>
      </c>
      <c r="H8" s="17" t="n">
        <v>-95.37</v>
      </c>
      <c r="I8" s="21" t="s">
        <v>215</v>
      </c>
      <c r="J8" s="21"/>
    </row>
    <row r="9" customFormat="false" ht="14.25" hidden="false" customHeight="true" outlineLevel="0" collapsed="false">
      <c r="A9" s="16" t="s">
        <v>159</v>
      </c>
      <c r="B9" s="17" t="s">
        <v>481</v>
      </c>
      <c r="C9" s="17" t="s">
        <v>491</v>
      </c>
      <c r="D9" s="17"/>
      <c r="E9" s="17"/>
      <c r="F9" s="17" t="s">
        <v>493</v>
      </c>
      <c r="G9" s="17" t="n">
        <v>33.43</v>
      </c>
      <c r="H9" s="17" t="n">
        <v>-111.94</v>
      </c>
      <c r="I9" s="21" t="s">
        <v>215</v>
      </c>
      <c r="J9" s="21"/>
    </row>
    <row r="10" customFormat="false" ht="14.25" hidden="false" customHeight="true" outlineLevel="0" collapsed="false">
      <c r="A10" s="16" t="s">
        <v>225</v>
      </c>
      <c r="B10" s="17" t="s">
        <v>481</v>
      </c>
      <c r="C10" s="17" t="s">
        <v>491</v>
      </c>
      <c r="D10" s="17"/>
      <c r="E10" s="17"/>
      <c r="F10" s="17" t="s">
        <v>494</v>
      </c>
      <c r="G10" s="17" t="n">
        <v>32.76</v>
      </c>
      <c r="H10" s="17" t="n">
        <v>-97.33</v>
      </c>
      <c r="I10" s="21" t="s">
        <v>62</v>
      </c>
      <c r="J10" s="21"/>
    </row>
    <row r="11" customFormat="false" ht="14.25" hidden="false" customHeight="true" outlineLevel="0" collapsed="false">
      <c r="A11" s="16" t="s">
        <v>495</v>
      </c>
      <c r="B11" s="17" t="s">
        <v>481</v>
      </c>
      <c r="C11" s="17" t="s">
        <v>496</v>
      </c>
      <c r="D11" s="17" t="s">
        <v>90</v>
      </c>
      <c r="E11" s="17" t="s">
        <v>90</v>
      </c>
      <c r="F11" s="17" t="s">
        <v>497</v>
      </c>
      <c r="G11" s="17" t="n">
        <v>40.81</v>
      </c>
      <c r="H11" s="17" t="n">
        <v>-96.7</v>
      </c>
      <c r="I11" s="21" t="s">
        <v>62</v>
      </c>
      <c r="J11" s="21"/>
    </row>
    <row r="12" customFormat="false" ht="14.25" hidden="false" customHeight="true" outlineLevel="0" collapsed="false">
      <c r="A12" s="16" t="s">
        <v>498</v>
      </c>
      <c r="B12" s="17" t="s">
        <v>383</v>
      </c>
      <c r="C12" s="17" t="s">
        <v>499</v>
      </c>
      <c r="D12" s="17" t="s">
        <v>500</v>
      </c>
      <c r="E12" s="17" t="s">
        <v>500</v>
      </c>
      <c r="F12" s="17" t="s">
        <v>501</v>
      </c>
      <c r="G12" s="17" t="n">
        <v>39.57</v>
      </c>
      <c r="H12" s="17" t="n">
        <v>2.65</v>
      </c>
      <c r="I12" s="21" t="s">
        <v>60</v>
      </c>
      <c r="J12" s="21"/>
    </row>
    <row r="13" customFormat="false" ht="14.25" hidden="false" customHeight="true" outlineLevel="0" collapsed="false">
      <c r="A13" s="16" t="s">
        <v>502</v>
      </c>
      <c r="B13" s="17" t="s">
        <v>392</v>
      </c>
      <c r="C13" s="17" t="s">
        <v>499</v>
      </c>
      <c r="D13" s="17" t="s">
        <v>500</v>
      </c>
      <c r="E13" s="17" t="s">
        <v>500</v>
      </c>
      <c r="F13" s="17" t="s">
        <v>503</v>
      </c>
      <c r="G13" s="17" t="n">
        <v>38.72</v>
      </c>
      <c r="H13" s="17" t="n">
        <v>-9.14</v>
      </c>
      <c r="I13" s="21" t="s">
        <v>60</v>
      </c>
      <c r="J13" s="21"/>
    </row>
    <row r="14" customFormat="false" ht="14.25" hidden="false" customHeight="true" outlineLevel="0" collapsed="false">
      <c r="A14" s="16" t="s">
        <v>504</v>
      </c>
      <c r="B14" s="17" t="s">
        <v>396</v>
      </c>
      <c r="C14" s="17" t="s">
        <v>499</v>
      </c>
      <c r="D14" s="17" t="s">
        <v>53</v>
      </c>
      <c r="E14" s="17" t="s">
        <v>53</v>
      </c>
      <c r="F14" s="17" t="s">
        <v>505</v>
      </c>
      <c r="G14" s="17"/>
      <c r="H14" s="17"/>
      <c r="I14" s="21" t="s">
        <v>60</v>
      </c>
      <c r="J14" s="21" t="s">
        <v>506</v>
      </c>
    </row>
    <row r="15" customFormat="false" ht="14.25" hidden="false" customHeight="true" outlineLevel="0" collapsed="false">
      <c r="A15" s="16" t="s">
        <v>400</v>
      </c>
      <c r="B15" s="17" t="s">
        <v>400</v>
      </c>
      <c r="C15" s="17" t="s">
        <v>499</v>
      </c>
      <c r="D15" s="17" t="s">
        <v>53</v>
      </c>
      <c r="E15" s="17" t="s">
        <v>53</v>
      </c>
      <c r="F15" s="17" t="s">
        <v>507</v>
      </c>
      <c r="G15" s="17"/>
      <c r="H15" s="17"/>
      <c r="I15" s="21" t="s">
        <v>60</v>
      </c>
      <c r="J15" s="21" t="s">
        <v>506</v>
      </c>
    </row>
    <row r="16" customFormat="false" ht="14.25" hidden="false" customHeight="true" outlineLevel="0" collapsed="false">
      <c r="A16" s="16" t="s">
        <v>508</v>
      </c>
      <c r="B16" s="17" t="s">
        <v>481</v>
      </c>
      <c r="C16" s="17" t="s">
        <v>499</v>
      </c>
      <c r="D16" s="17" t="s">
        <v>53</v>
      </c>
      <c r="E16" s="17" t="s">
        <v>53</v>
      </c>
      <c r="F16" s="17" t="s">
        <v>509</v>
      </c>
      <c r="G16" s="17"/>
      <c r="H16" s="17"/>
      <c r="I16" s="21" t="s">
        <v>60</v>
      </c>
      <c r="J16" s="21" t="s">
        <v>506</v>
      </c>
    </row>
    <row r="17" customFormat="false" ht="14.25" hidden="false" customHeight="true" outlineLevel="0" collapsed="false">
      <c r="A17" s="16" t="s">
        <v>408</v>
      </c>
      <c r="B17" s="17" t="s">
        <v>408</v>
      </c>
      <c r="C17" s="17" t="s">
        <v>499</v>
      </c>
      <c r="D17" s="17" t="s">
        <v>71</v>
      </c>
      <c r="E17" s="17" t="s">
        <v>71</v>
      </c>
      <c r="F17" s="17" t="s">
        <v>510</v>
      </c>
      <c r="G17" s="17" t="n">
        <v>-22.97</v>
      </c>
      <c r="H17" s="17" t="n">
        <v>-43.18</v>
      </c>
      <c r="I17" s="21" t="s">
        <v>60</v>
      </c>
      <c r="J17" s="21" t="s">
        <v>511</v>
      </c>
    </row>
    <row r="18" customFormat="false" ht="14.25" hidden="false" customHeight="true" outlineLevel="0" collapsed="false">
      <c r="A18" s="16" t="s">
        <v>412</v>
      </c>
      <c r="B18" s="17" t="s">
        <v>412</v>
      </c>
      <c r="C18" s="17" t="s">
        <v>499</v>
      </c>
      <c r="D18" s="17" t="s">
        <v>512</v>
      </c>
      <c r="E18" s="17" t="s">
        <v>512</v>
      </c>
      <c r="F18" s="17" t="s">
        <v>513</v>
      </c>
      <c r="G18" s="17"/>
      <c r="H18" s="17"/>
      <c r="I18" s="21" t="s">
        <v>60</v>
      </c>
      <c r="J18" s="21" t="s">
        <v>506</v>
      </c>
    </row>
    <row r="19" customFormat="false" ht="14.25" hidden="false" customHeight="true" outlineLevel="0" collapsed="false">
      <c r="A19" s="16" t="s">
        <v>514</v>
      </c>
      <c r="B19" s="17" t="s">
        <v>481</v>
      </c>
      <c r="C19" s="17" t="s">
        <v>499</v>
      </c>
      <c r="D19" s="17" t="s">
        <v>512</v>
      </c>
      <c r="E19" s="17" t="s">
        <v>512</v>
      </c>
      <c r="F19" s="17" t="s">
        <v>515</v>
      </c>
      <c r="G19" s="17" t="n">
        <v>26.71</v>
      </c>
      <c r="H19" s="17" t="n">
        <v>-80.04</v>
      </c>
      <c r="I19" s="21" t="s">
        <v>215</v>
      </c>
      <c r="J19" s="21"/>
    </row>
    <row r="20" customFormat="false" ht="14.25" hidden="false" customHeight="true" outlineLevel="0" collapsed="false">
      <c r="A20" s="16" t="s">
        <v>516</v>
      </c>
      <c r="B20" s="17" t="s">
        <v>400</v>
      </c>
      <c r="C20" s="17" t="s">
        <v>499</v>
      </c>
      <c r="D20" s="17" t="s">
        <v>202</v>
      </c>
      <c r="E20" s="17" t="s">
        <v>202</v>
      </c>
      <c r="F20" s="17" t="s">
        <v>517</v>
      </c>
      <c r="G20" s="17" t="n">
        <v>19.43</v>
      </c>
      <c r="H20" s="17" t="n">
        <v>-99.13</v>
      </c>
      <c r="I20" s="21" t="s">
        <v>60</v>
      </c>
      <c r="J20" s="21"/>
    </row>
    <row r="21" customFormat="false" ht="24.75" hidden="false" customHeight="true" outlineLevel="0" collapsed="false">
      <c r="A21" s="16" t="s">
        <v>422</v>
      </c>
      <c r="B21" s="17" t="s">
        <v>422</v>
      </c>
      <c r="C21" s="17" t="s">
        <v>499</v>
      </c>
      <c r="D21" s="17" t="s">
        <v>70</v>
      </c>
      <c r="E21" s="17" t="s">
        <v>70</v>
      </c>
      <c r="F21" s="17" t="s">
        <v>518</v>
      </c>
      <c r="G21" s="17" t="n">
        <v>41.89</v>
      </c>
      <c r="H21" s="17" t="n">
        <v>12.49</v>
      </c>
      <c r="I21" s="21" t="s">
        <v>60</v>
      </c>
      <c r="J21" s="21" t="s">
        <v>519</v>
      </c>
    </row>
    <row r="22" customFormat="false" ht="14.25" hidden="false" customHeight="true" outlineLevel="0" collapsed="false">
      <c r="A22" s="16" t="s">
        <v>425</v>
      </c>
      <c r="B22" s="17" t="s">
        <v>425</v>
      </c>
      <c r="C22" s="17" t="s">
        <v>499</v>
      </c>
      <c r="D22" s="17" t="s">
        <v>202</v>
      </c>
      <c r="E22" s="17" t="s">
        <v>202</v>
      </c>
      <c r="F22" s="17" t="s">
        <v>520</v>
      </c>
      <c r="G22" s="17"/>
      <c r="H22" s="17"/>
      <c r="I22" s="21" t="s">
        <v>60</v>
      </c>
      <c r="J22" s="21"/>
    </row>
    <row r="24" customFormat="false" ht="14.25" hidden="false" customHeight="true" outlineLevel="0" collapsed="false">
      <c r="A24" s="31" t="s">
        <v>521</v>
      </c>
    </row>
    <row r="25" customFormat="false" ht="14.25" hidden="false" customHeight="true" outlineLevel="0" collapsed="false">
      <c r="A25" s="31" t="s">
        <v>522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4" activeCellId="0" sqref="A24"/>
    </sheetView>
  </sheetViews>
  <sheetFormatPr defaultColWidth="8.6328125" defaultRowHeight="14.25" zeroHeight="false" outlineLevelRow="0" outlineLevelCol="0"/>
  <cols>
    <col collapsed="false" customWidth="true" hidden="false" outlineLevel="0" max="1" min="1" style="1" width="6"/>
    <col collapsed="false" customWidth="true" hidden="false" outlineLevel="0" max="2" min="2" style="1" width="36"/>
    <col collapsed="false" customWidth="true" hidden="false" outlineLevel="0" max="3" min="3" style="1" width="24"/>
    <col collapsed="false" customWidth="true" hidden="false" outlineLevel="0" max="4" min="4" style="1" width="8"/>
    <col collapsed="false" customWidth="true" hidden="false" outlineLevel="0" max="5" min="5" style="1" width="9"/>
    <col collapsed="false" customWidth="true" hidden="false" outlineLevel="0" max="6" min="6" style="1" width="11"/>
    <col collapsed="false" customWidth="true" hidden="false" outlineLevel="0" max="7" min="7" style="1" width="20"/>
  </cols>
  <sheetData>
    <row r="1" customFormat="false" ht="14.25" hidden="false" customHeight="true" outlineLevel="0" collapsed="false">
      <c r="A1" s="27" t="s">
        <v>24</v>
      </c>
      <c r="B1" s="27" t="s">
        <v>523</v>
      </c>
      <c r="C1" s="27" t="s">
        <v>472</v>
      </c>
      <c r="D1" s="27" t="s">
        <v>524</v>
      </c>
      <c r="E1" s="27" t="s">
        <v>389</v>
      </c>
      <c r="F1" s="27" t="s">
        <v>41</v>
      </c>
      <c r="G1" s="27" t="s">
        <v>463</v>
      </c>
    </row>
    <row r="2" customFormat="false" ht="14.25" hidden="false" customHeight="true" outlineLevel="0" collapsed="false">
      <c r="A2" s="32" t="s">
        <v>379</v>
      </c>
      <c r="B2" s="33" t="s">
        <v>380</v>
      </c>
      <c r="C2" s="32" t="s">
        <v>383</v>
      </c>
      <c r="D2" s="32" t="n">
        <v>2026</v>
      </c>
      <c r="E2" s="32" t="n">
        <v>65</v>
      </c>
      <c r="F2" s="34" t="s">
        <v>60</v>
      </c>
      <c r="G2" s="32"/>
    </row>
    <row r="3" customFormat="false" ht="14.25" hidden="false" customHeight="true" outlineLevel="0" collapsed="false">
      <c r="A3" s="32" t="s">
        <v>390</v>
      </c>
      <c r="B3" s="33" t="s">
        <v>391</v>
      </c>
      <c r="C3" s="32" t="s">
        <v>392</v>
      </c>
      <c r="D3" s="32" t="n">
        <v>2026</v>
      </c>
      <c r="E3" s="32" t="n">
        <v>64</v>
      </c>
      <c r="F3" s="34" t="s">
        <v>60</v>
      </c>
      <c r="G3" s="32"/>
    </row>
    <row r="4" customFormat="false" ht="14.25" hidden="false" customHeight="true" outlineLevel="0" collapsed="false">
      <c r="A4" s="32" t="s">
        <v>394</v>
      </c>
      <c r="B4" s="33" t="s">
        <v>395</v>
      </c>
      <c r="C4" s="32" t="s">
        <v>396</v>
      </c>
      <c r="D4" s="32" t="s">
        <v>53</v>
      </c>
      <c r="E4" s="32" t="n">
        <v>267</v>
      </c>
      <c r="F4" s="34" t="s">
        <v>60</v>
      </c>
      <c r="G4" s="32"/>
    </row>
    <row r="5" customFormat="false" ht="14.25" hidden="false" customHeight="true" outlineLevel="0" collapsed="false">
      <c r="A5" s="32" t="s">
        <v>398</v>
      </c>
      <c r="B5" s="33" t="s">
        <v>399</v>
      </c>
      <c r="C5" s="32" t="s">
        <v>400</v>
      </c>
      <c r="D5" s="32" t="s">
        <v>53</v>
      </c>
      <c r="E5" s="32" t="n">
        <v>84</v>
      </c>
      <c r="F5" s="34" t="s">
        <v>60</v>
      </c>
      <c r="G5" s="32"/>
    </row>
    <row r="6" customFormat="false" ht="14.25" hidden="false" customHeight="true" outlineLevel="0" collapsed="false">
      <c r="A6" s="32" t="s">
        <v>402</v>
      </c>
      <c r="B6" s="33" t="s">
        <v>403</v>
      </c>
      <c r="C6" s="32" t="s">
        <v>404</v>
      </c>
      <c r="D6" s="32" t="s">
        <v>53</v>
      </c>
      <c r="E6" s="32" t="n">
        <v>39</v>
      </c>
      <c r="F6" s="34" t="s">
        <v>60</v>
      </c>
      <c r="G6" s="32"/>
    </row>
    <row r="7" customFormat="false" ht="14.25" hidden="false" customHeight="true" outlineLevel="0" collapsed="false">
      <c r="A7" s="32" t="s">
        <v>406</v>
      </c>
      <c r="B7" s="33" t="s">
        <v>407</v>
      </c>
      <c r="C7" s="32" t="s">
        <v>408</v>
      </c>
      <c r="D7" s="32" t="n">
        <v>2024</v>
      </c>
      <c r="E7" s="32" t="n">
        <v>177</v>
      </c>
      <c r="F7" s="34" t="s">
        <v>60</v>
      </c>
      <c r="G7" s="32"/>
    </row>
    <row r="8" customFormat="false" ht="14.25" hidden="false" customHeight="true" outlineLevel="0" collapsed="false">
      <c r="A8" s="32" t="s">
        <v>410</v>
      </c>
      <c r="B8" s="33" t="s">
        <v>411</v>
      </c>
      <c r="C8" s="32" t="s">
        <v>412</v>
      </c>
      <c r="D8" s="32" t="n">
        <v>2023</v>
      </c>
      <c r="E8" s="32" t="n">
        <v>106</v>
      </c>
      <c r="F8" s="34" t="s">
        <v>60</v>
      </c>
      <c r="G8" s="32"/>
    </row>
    <row r="9" customFormat="false" ht="14.25" hidden="false" customHeight="true" outlineLevel="0" collapsed="false">
      <c r="A9" s="32" t="s">
        <v>414</v>
      </c>
      <c r="B9" s="33" t="s">
        <v>415</v>
      </c>
      <c r="C9" s="32" t="s">
        <v>416</v>
      </c>
      <c r="D9" s="32" t="n">
        <v>2023</v>
      </c>
      <c r="E9" s="32" t="n">
        <v>39</v>
      </c>
      <c r="F9" s="34" t="s">
        <v>60</v>
      </c>
      <c r="G9" s="32"/>
    </row>
    <row r="10" customFormat="false" ht="14.25" hidden="false" customHeight="true" outlineLevel="0" collapsed="false">
      <c r="A10" s="32" t="s">
        <v>417</v>
      </c>
      <c r="B10" s="33" t="s">
        <v>418</v>
      </c>
      <c r="C10" s="32" t="s">
        <v>400</v>
      </c>
      <c r="D10" s="32" t="n">
        <v>2022</v>
      </c>
      <c r="E10" s="32" t="n">
        <v>59</v>
      </c>
      <c r="F10" s="34" t="s">
        <v>60</v>
      </c>
      <c r="G10" s="32"/>
    </row>
    <row r="11" customFormat="false" ht="14.25" hidden="false" customHeight="true" outlineLevel="0" collapsed="false">
      <c r="A11" s="32" t="s">
        <v>420</v>
      </c>
      <c r="B11" s="33" t="s">
        <v>421</v>
      </c>
      <c r="C11" s="32" t="s">
        <v>422</v>
      </c>
      <c r="D11" s="32" t="n">
        <v>2021</v>
      </c>
      <c r="E11" s="32" t="n">
        <v>59</v>
      </c>
      <c r="F11" s="34" t="s">
        <v>60</v>
      </c>
      <c r="G11" s="32"/>
    </row>
    <row r="12" customFormat="false" ht="14.25" hidden="false" customHeight="true" outlineLevel="0" collapsed="false">
      <c r="A12" s="32" t="s">
        <v>423</v>
      </c>
      <c r="B12" s="33" t="s">
        <v>424</v>
      </c>
      <c r="C12" s="32" t="s">
        <v>425</v>
      </c>
      <c r="D12" s="32" t="n">
        <v>2022</v>
      </c>
      <c r="E12" s="32" t="n">
        <v>53</v>
      </c>
      <c r="F12" s="34" t="s">
        <v>60</v>
      </c>
      <c r="G12" s="32"/>
    </row>
    <row r="13" customFormat="false" ht="14.25" hidden="false" customHeight="true" outlineLevel="0" collapsed="false">
      <c r="D13" s="28" t="s">
        <v>525</v>
      </c>
      <c r="E13" s="28" t="n">
        <f aca="false">SUM(E2:E12)</f>
        <v>1012</v>
      </c>
    </row>
    <row r="14" customFormat="false" ht="14.25" hidden="false" customHeight="true" outlineLevel="0" collapsed="false">
      <c r="D14" s="28" t="s">
        <v>526</v>
      </c>
      <c r="E14" s="28" t="n">
        <f aca="false">COUNTIF(F2:F12,"Yes")</f>
        <v>11</v>
      </c>
    </row>
    <row r="16" customFormat="false" ht="14.25" hidden="false" customHeight="true" outlineLevel="0" collapsed="false">
      <c r="A16" s="31" t="s">
        <v>527</v>
      </c>
    </row>
    <row r="19" customFormat="false" ht="14.25" hidden="false" customHeight="true" outlineLevel="0" collapsed="false">
      <c r="A19" s="1" t="s">
        <v>528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6"/>
    <col collapsed="false" customWidth="true" hidden="false" outlineLevel="0" max="2" min="2" style="1" width="24"/>
    <col collapsed="false" customWidth="true" hidden="false" outlineLevel="0" max="4" min="3" style="1" width="18"/>
    <col collapsed="false" customWidth="true" hidden="false" outlineLevel="0" max="5" min="5" style="1" width="32"/>
  </cols>
  <sheetData>
    <row r="1" customFormat="false" ht="15" hidden="false" customHeight="true" outlineLevel="0" collapsed="false">
      <c r="A1" s="27" t="s">
        <v>529</v>
      </c>
      <c r="B1" s="27" t="s">
        <v>473</v>
      </c>
      <c r="C1" s="27" t="s">
        <v>530</v>
      </c>
      <c r="D1" s="27" t="s">
        <v>531</v>
      </c>
      <c r="E1" s="27" t="s">
        <v>463</v>
      </c>
    </row>
    <row r="2" customFormat="false" ht="15" hidden="false" customHeight="true" outlineLevel="0" collapsed="false">
      <c r="A2" s="33" t="n">
        <v>1</v>
      </c>
      <c r="B2" s="33" t="s">
        <v>481</v>
      </c>
      <c r="C2" s="33" t="s">
        <v>532</v>
      </c>
      <c r="D2" s="33" t="s">
        <v>533</v>
      </c>
      <c r="E2" s="33"/>
    </row>
    <row r="3" customFormat="false" ht="15" hidden="false" customHeight="true" outlineLevel="0" collapsed="false">
      <c r="A3" s="33" t="n">
        <v>2</v>
      </c>
      <c r="B3" s="33" t="s">
        <v>534</v>
      </c>
      <c r="C3" s="33" t="s">
        <v>532</v>
      </c>
      <c r="D3" s="33" t="s">
        <v>533</v>
      </c>
      <c r="E3" s="33"/>
    </row>
    <row r="4" customFormat="false" ht="15" hidden="false" customHeight="true" outlineLevel="0" collapsed="false">
      <c r="A4" s="33" t="n">
        <v>3</v>
      </c>
      <c r="B4" s="33" t="s">
        <v>400</v>
      </c>
      <c r="C4" s="33" t="s">
        <v>532</v>
      </c>
      <c r="D4" s="33" t="s">
        <v>533</v>
      </c>
      <c r="E4" s="33"/>
    </row>
    <row r="5" customFormat="false" ht="15" hidden="false" customHeight="true" outlineLevel="0" collapsed="false">
      <c r="A5" s="33" t="n">
        <v>4</v>
      </c>
      <c r="B5" s="33" t="s">
        <v>535</v>
      </c>
      <c r="C5" s="33" t="s">
        <v>536</v>
      </c>
      <c r="D5" s="33" t="s">
        <v>533</v>
      </c>
      <c r="E5" s="33"/>
    </row>
    <row r="6" customFormat="false" ht="15" hidden="false" customHeight="true" outlineLevel="0" collapsed="false">
      <c r="A6" s="33" t="n">
        <v>5</v>
      </c>
      <c r="B6" s="33" t="s">
        <v>537</v>
      </c>
      <c r="C6" s="33" t="s">
        <v>536</v>
      </c>
      <c r="D6" s="33" t="s">
        <v>533</v>
      </c>
      <c r="E6" s="33"/>
    </row>
    <row r="7" customFormat="false" ht="15" hidden="false" customHeight="true" outlineLevel="0" collapsed="false">
      <c r="A7" s="33" t="n">
        <v>6</v>
      </c>
      <c r="B7" s="33" t="s">
        <v>538</v>
      </c>
      <c r="C7" s="33" t="s">
        <v>536</v>
      </c>
      <c r="D7" s="33" t="s">
        <v>539</v>
      </c>
      <c r="E7" s="33" t="s">
        <v>540</v>
      </c>
    </row>
    <row r="8" customFormat="false" ht="15" hidden="false" customHeight="true" outlineLevel="0" collapsed="false">
      <c r="A8" s="33" t="n">
        <v>7</v>
      </c>
      <c r="B8" s="33" t="s">
        <v>541</v>
      </c>
      <c r="C8" s="33" t="s">
        <v>536</v>
      </c>
      <c r="D8" s="33" t="s">
        <v>539</v>
      </c>
      <c r="E8" s="33" t="s">
        <v>540</v>
      </c>
    </row>
    <row r="9" customFormat="false" ht="15" hidden="false" customHeight="true" outlineLevel="0" collapsed="false">
      <c r="A9" s="33" t="n">
        <v>8</v>
      </c>
      <c r="B9" s="33" t="s">
        <v>542</v>
      </c>
      <c r="C9" s="33" t="s">
        <v>536</v>
      </c>
      <c r="D9" s="33" t="s">
        <v>539</v>
      </c>
      <c r="E9" s="33" t="s">
        <v>540</v>
      </c>
    </row>
    <row r="10" customFormat="false" ht="15" hidden="false" customHeight="true" outlineLevel="0" collapsed="false">
      <c r="A10" s="33" t="n">
        <v>9</v>
      </c>
      <c r="B10" s="33" t="s">
        <v>543</v>
      </c>
      <c r="C10" s="33" t="s">
        <v>536</v>
      </c>
      <c r="D10" s="33" t="s">
        <v>539</v>
      </c>
      <c r="E10" s="33" t="s">
        <v>540</v>
      </c>
    </row>
    <row r="11" customFormat="false" ht="15" hidden="false" customHeight="true" outlineLevel="0" collapsed="false">
      <c r="A11" s="33" t="n">
        <v>10</v>
      </c>
      <c r="B11" s="33" t="s">
        <v>544</v>
      </c>
      <c r="C11" s="33" t="s">
        <v>536</v>
      </c>
      <c r="D11" s="33" t="s">
        <v>533</v>
      </c>
      <c r="E11" s="33"/>
    </row>
    <row r="12" customFormat="false" ht="15" hidden="false" customHeight="true" outlineLevel="0" collapsed="false">
      <c r="A12" s="33" t="n">
        <v>11</v>
      </c>
      <c r="B12" s="33" t="s">
        <v>545</v>
      </c>
      <c r="C12" s="33" t="s">
        <v>546</v>
      </c>
      <c r="D12" s="33" t="s">
        <v>533</v>
      </c>
      <c r="E12" s="33"/>
    </row>
    <row r="13" customFormat="false" ht="15" hidden="false" customHeight="true" outlineLevel="0" collapsed="false">
      <c r="A13" s="33" t="n">
        <v>12</v>
      </c>
      <c r="B13" s="33" t="s">
        <v>547</v>
      </c>
      <c r="C13" s="33" t="s">
        <v>546</v>
      </c>
      <c r="D13" s="33" t="s">
        <v>533</v>
      </c>
      <c r="E13" s="33"/>
    </row>
    <row r="14" customFormat="false" ht="15" hidden="false" customHeight="true" outlineLevel="0" collapsed="false">
      <c r="A14" s="33" t="n">
        <v>13</v>
      </c>
      <c r="B14" s="33" t="s">
        <v>548</v>
      </c>
      <c r="C14" s="33" t="s">
        <v>546</v>
      </c>
      <c r="D14" s="33" t="s">
        <v>533</v>
      </c>
      <c r="E14" s="33"/>
    </row>
    <row r="15" customFormat="false" ht="15" hidden="false" customHeight="true" outlineLevel="0" collapsed="false">
      <c r="A15" s="33" t="n">
        <v>14</v>
      </c>
      <c r="B15" s="33" t="s">
        <v>549</v>
      </c>
      <c r="C15" s="33" t="s">
        <v>546</v>
      </c>
      <c r="D15" s="33" t="s">
        <v>533</v>
      </c>
      <c r="E15" s="33"/>
    </row>
    <row r="16" customFormat="false" ht="15" hidden="false" customHeight="true" outlineLevel="0" collapsed="false">
      <c r="A16" s="33" t="n">
        <v>15</v>
      </c>
      <c r="B16" s="33" t="s">
        <v>425</v>
      </c>
      <c r="C16" s="33" t="s">
        <v>550</v>
      </c>
      <c r="D16" s="33" t="s">
        <v>533</v>
      </c>
      <c r="E16" s="33" t="s">
        <v>520</v>
      </c>
    </row>
    <row r="17" customFormat="false" ht="15" hidden="false" customHeight="true" outlineLevel="0" collapsed="false">
      <c r="A17" s="33" t="n">
        <v>16</v>
      </c>
      <c r="B17" s="33" t="s">
        <v>412</v>
      </c>
      <c r="C17" s="33" t="s">
        <v>550</v>
      </c>
      <c r="D17" s="33" t="s">
        <v>533</v>
      </c>
      <c r="E17" s="33" t="s">
        <v>551</v>
      </c>
    </row>
    <row r="18" customFormat="false" ht="15" hidden="false" customHeight="true" outlineLevel="0" collapsed="false">
      <c r="A18" s="33" t="n">
        <v>17</v>
      </c>
      <c r="B18" s="33" t="s">
        <v>408</v>
      </c>
      <c r="C18" s="33" t="s">
        <v>550</v>
      </c>
      <c r="D18" s="33" t="s">
        <v>533</v>
      </c>
      <c r="E18" s="33" t="s">
        <v>510</v>
      </c>
    </row>
    <row r="19" customFormat="false" ht="15" hidden="false" customHeight="true" outlineLevel="0" collapsed="false">
      <c r="A19" s="33" t="n">
        <v>18</v>
      </c>
      <c r="B19" s="33" t="s">
        <v>552</v>
      </c>
      <c r="C19" s="33" t="s">
        <v>550</v>
      </c>
      <c r="D19" s="33" t="s">
        <v>533</v>
      </c>
      <c r="E19" s="33" t="s">
        <v>505</v>
      </c>
    </row>
    <row r="20" customFormat="false" ht="15" hidden="false" customHeight="true" outlineLevel="0" collapsed="false">
      <c r="A20" s="33" t="n">
        <v>19</v>
      </c>
      <c r="B20" s="33" t="s">
        <v>553</v>
      </c>
      <c r="C20" s="33" t="s">
        <v>550</v>
      </c>
      <c r="D20" s="33" t="s">
        <v>533</v>
      </c>
      <c r="E20" s="33" t="s">
        <v>505</v>
      </c>
    </row>
    <row r="21" customFormat="false" ht="15" hidden="false" customHeight="true" outlineLevel="0" collapsed="false">
      <c r="A21" s="33" t="n">
        <v>20</v>
      </c>
      <c r="B21" s="33" t="s">
        <v>554</v>
      </c>
      <c r="C21" s="33" t="s">
        <v>555</v>
      </c>
      <c r="D21" s="33" t="s">
        <v>533</v>
      </c>
      <c r="E21" s="33"/>
    </row>
    <row r="22" customFormat="false" ht="15" hidden="false" customHeight="true" outlineLevel="0" collapsed="false">
      <c r="A22" s="33" t="n">
        <v>21</v>
      </c>
      <c r="B22" s="33" t="s">
        <v>383</v>
      </c>
      <c r="C22" s="33" t="s">
        <v>556</v>
      </c>
      <c r="D22" s="33" t="s">
        <v>533</v>
      </c>
      <c r="E22" s="33" t="s">
        <v>501</v>
      </c>
    </row>
    <row r="23" customFormat="false" ht="15" hidden="false" customHeight="true" outlineLevel="0" collapsed="false">
      <c r="A23" s="33" t="n">
        <v>22</v>
      </c>
      <c r="B23" s="33" t="s">
        <v>392</v>
      </c>
      <c r="C23" s="33" t="s">
        <v>556</v>
      </c>
      <c r="D23" s="33" t="s">
        <v>533</v>
      </c>
      <c r="E23" s="33" t="s">
        <v>503</v>
      </c>
    </row>
    <row r="24" customFormat="false" ht="15" hidden="false" customHeight="true" outlineLevel="0" collapsed="false">
      <c r="A24" s="33" t="n">
        <v>23</v>
      </c>
      <c r="B24" s="33" t="s">
        <v>422</v>
      </c>
      <c r="C24" s="33" t="s">
        <v>556</v>
      </c>
      <c r="D24" s="33" t="s">
        <v>533</v>
      </c>
      <c r="E24" s="33" t="s">
        <v>557</v>
      </c>
    </row>
    <row r="25" customFormat="false" ht="15" hidden="false" customHeight="true" outlineLevel="0" collapsed="false">
      <c r="A25" s="33" t="n">
        <v>24</v>
      </c>
      <c r="B25" s="33" t="s">
        <v>558</v>
      </c>
      <c r="C25" s="33" t="s">
        <v>556</v>
      </c>
      <c r="D25" s="33" t="s">
        <v>533</v>
      </c>
      <c r="E25" s="33"/>
    </row>
    <row r="26" customFormat="false" ht="15" hidden="false" customHeight="true" outlineLevel="0" collapsed="false">
      <c r="A26" s="33" t="n">
        <v>25</v>
      </c>
      <c r="B26" s="33" t="s">
        <v>559</v>
      </c>
      <c r="C26" s="33" t="s">
        <v>556</v>
      </c>
      <c r="D26" s="33" t="s">
        <v>533</v>
      </c>
      <c r="E26" s="33"/>
    </row>
    <row r="27" customFormat="false" ht="15" hidden="false" customHeight="true" outlineLevel="0" collapsed="false">
      <c r="A27" s="33" t="n">
        <v>26</v>
      </c>
      <c r="B27" s="33" t="s">
        <v>560</v>
      </c>
      <c r="C27" s="33" t="s">
        <v>556</v>
      </c>
      <c r="D27" s="33" t="s">
        <v>533</v>
      </c>
      <c r="E27" s="33"/>
    </row>
    <row r="28" customFormat="false" ht="15" hidden="false" customHeight="true" outlineLevel="0" collapsed="false">
      <c r="A28" s="33" t="n">
        <v>27</v>
      </c>
      <c r="B28" s="33" t="s">
        <v>561</v>
      </c>
      <c r="C28" s="33" t="s">
        <v>556</v>
      </c>
      <c r="D28" s="33" t="s">
        <v>533</v>
      </c>
      <c r="E28" s="33"/>
    </row>
    <row r="29" customFormat="false" ht="15" hidden="false" customHeight="true" outlineLevel="0" collapsed="false">
      <c r="A29" s="33" t="n">
        <v>28</v>
      </c>
      <c r="B29" s="33" t="s">
        <v>562</v>
      </c>
      <c r="C29" s="33" t="s">
        <v>556</v>
      </c>
      <c r="D29" s="33" t="s">
        <v>533</v>
      </c>
      <c r="E29" s="33"/>
    </row>
    <row r="30" customFormat="false" ht="15" hidden="false" customHeight="true" outlineLevel="0" collapsed="false">
      <c r="A30" s="33" t="n">
        <v>29</v>
      </c>
      <c r="B30" s="33" t="s">
        <v>563</v>
      </c>
      <c r="C30" s="33" t="s">
        <v>556</v>
      </c>
      <c r="D30" s="33" t="s">
        <v>533</v>
      </c>
      <c r="E30" s="33"/>
    </row>
    <row r="31" customFormat="false" ht="15" hidden="false" customHeight="true" outlineLevel="0" collapsed="false">
      <c r="A31" s="33" t="n">
        <v>30</v>
      </c>
      <c r="B31" s="33" t="s">
        <v>564</v>
      </c>
      <c r="C31" s="33" t="s">
        <v>556</v>
      </c>
      <c r="D31" s="33" t="s">
        <v>533</v>
      </c>
      <c r="E31" s="33"/>
    </row>
    <row r="32" customFormat="false" ht="15" hidden="false" customHeight="true" outlineLevel="0" collapsed="false">
      <c r="A32" s="33" t="n">
        <v>31</v>
      </c>
      <c r="B32" s="33" t="s">
        <v>565</v>
      </c>
      <c r="C32" s="33" t="s">
        <v>556</v>
      </c>
      <c r="D32" s="33" t="s">
        <v>533</v>
      </c>
      <c r="E32" s="33"/>
    </row>
    <row r="33" customFormat="false" ht="15" hidden="false" customHeight="true" outlineLevel="0" collapsed="false">
      <c r="A33" s="33" t="n">
        <v>32</v>
      </c>
      <c r="B33" s="33" t="s">
        <v>566</v>
      </c>
      <c r="C33" s="33" t="s">
        <v>556</v>
      </c>
      <c r="D33" s="33" t="s">
        <v>533</v>
      </c>
      <c r="E33" s="33"/>
    </row>
    <row r="34" customFormat="false" ht="15" hidden="false" customHeight="true" outlineLevel="0" collapsed="false">
      <c r="A34" s="33" t="n">
        <v>33</v>
      </c>
      <c r="B34" s="33" t="s">
        <v>567</v>
      </c>
      <c r="C34" s="33" t="s">
        <v>556</v>
      </c>
      <c r="D34" s="33" t="s">
        <v>533</v>
      </c>
      <c r="E34" s="33"/>
    </row>
    <row r="35" customFormat="false" ht="15" hidden="false" customHeight="true" outlineLevel="0" collapsed="false">
      <c r="A35" s="33" t="n">
        <v>34</v>
      </c>
      <c r="B35" s="33" t="s">
        <v>568</v>
      </c>
      <c r="C35" s="33" t="s">
        <v>556</v>
      </c>
      <c r="D35" s="33" t="s">
        <v>533</v>
      </c>
      <c r="E35" s="33"/>
    </row>
    <row r="37" customFormat="false" ht="15" hidden="false" customHeight="true" outlineLevel="0" collapsed="false">
      <c r="B37" s="28" t="s">
        <v>525</v>
      </c>
      <c r="C37" s="28" t="n">
        <f aca="false">COUNTA(B2:B35)</f>
        <v>34</v>
      </c>
    </row>
    <row r="38" customFormat="false" ht="15" hidden="false" customHeight="true" outlineLevel="0" collapsed="false">
      <c r="B38" s="1" t="s">
        <v>533</v>
      </c>
      <c r="C38" s="1" t="n">
        <f aca="false">COUNTIF(D2:D35,"Shaded")</f>
        <v>30</v>
      </c>
    </row>
    <row r="39" customFormat="false" ht="15" hidden="false" customHeight="true" outlineLevel="0" collapsed="false">
      <c r="B39" s="1" t="s">
        <v>539</v>
      </c>
      <c r="C39" s="1" t="n">
        <f aca="false">COUNTIF(D2:D35,"Dot")</f>
        <v>4</v>
      </c>
    </row>
    <row r="41" customFormat="false" ht="15" hidden="false" customHeight="true" outlineLevel="0" collapsed="false">
      <c r="A41" s="31" t="s">
        <v>569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6" activeCellId="0" sqref="B26"/>
    </sheetView>
  </sheetViews>
  <sheetFormatPr defaultColWidth="8.6328125" defaultRowHeight="14.2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70"/>
    <col collapsed="false" customWidth="true" hidden="false" outlineLevel="0" max="4" min="4" style="1" width="12"/>
    <col collapsed="false" customWidth="true" hidden="false" outlineLevel="0" max="5" min="5" style="1" width="14"/>
  </cols>
  <sheetData>
    <row r="1" customFormat="false" ht="14.25" hidden="false" customHeight="true" outlineLevel="0" collapsed="false">
      <c r="A1" s="27" t="s">
        <v>570</v>
      </c>
      <c r="B1" s="27" t="s">
        <v>571</v>
      </c>
      <c r="C1" s="27" t="s">
        <v>572</v>
      </c>
      <c r="D1" s="27" t="s">
        <v>573</v>
      </c>
      <c r="E1" s="27" t="s">
        <v>46</v>
      </c>
    </row>
    <row r="2" customFormat="false" ht="24.75" hidden="false" customHeight="true" outlineLevel="0" collapsed="false">
      <c r="A2" s="17" t="s">
        <v>574</v>
      </c>
      <c r="B2" s="16" t="s">
        <v>575</v>
      </c>
      <c r="C2" s="17" t="s">
        <v>576</v>
      </c>
      <c r="D2" s="21" t="s">
        <v>60</v>
      </c>
      <c r="E2" s="17" t="s">
        <v>577</v>
      </c>
    </row>
    <row r="3" customFormat="false" ht="14.25" hidden="false" customHeight="true" outlineLevel="0" collapsed="false">
      <c r="A3" s="17" t="s">
        <v>574</v>
      </c>
      <c r="B3" s="16" t="s">
        <v>578</v>
      </c>
      <c r="C3" s="17" t="s">
        <v>579</v>
      </c>
      <c r="D3" s="21" t="s">
        <v>60</v>
      </c>
      <c r="E3" s="17" t="s">
        <v>577</v>
      </c>
    </row>
    <row r="4" customFormat="false" ht="24.75" hidden="false" customHeight="true" outlineLevel="0" collapsed="false">
      <c r="A4" s="17" t="s">
        <v>574</v>
      </c>
      <c r="B4" s="16" t="s">
        <v>580</v>
      </c>
      <c r="C4" s="17" t="s">
        <v>581</v>
      </c>
      <c r="D4" s="21" t="s">
        <v>60</v>
      </c>
      <c r="E4" s="17" t="s">
        <v>577</v>
      </c>
    </row>
    <row r="5" customFormat="false" ht="14.25" hidden="false" customHeight="true" outlineLevel="0" collapsed="false">
      <c r="A5" s="17" t="s">
        <v>574</v>
      </c>
      <c r="B5" s="16" t="s">
        <v>582</v>
      </c>
      <c r="C5" s="17" t="s">
        <v>583</v>
      </c>
      <c r="D5" s="21" t="s">
        <v>60</v>
      </c>
      <c r="E5" s="17" t="s">
        <v>577</v>
      </c>
    </row>
    <row r="6" customFormat="false" ht="14.25" hidden="false" customHeight="true" outlineLevel="0" collapsed="false">
      <c r="A6" s="17" t="s">
        <v>574</v>
      </c>
      <c r="B6" s="16" t="s">
        <v>584</v>
      </c>
      <c r="C6" s="17" t="s">
        <v>585</v>
      </c>
      <c r="D6" s="21" t="s">
        <v>60</v>
      </c>
      <c r="E6" s="17" t="s">
        <v>577</v>
      </c>
    </row>
    <row r="7" customFormat="false" ht="14.25" hidden="false" customHeight="true" outlineLevel="0" collapsed="false">
      <c r="A7" s="17" t="s">
        <v>586</v>
      </c>
      <c r="B7" s="16" t="s">
        <v>587</v>
      </c>
      <c r="C7" s="17" t="s">
        <v>588</v>
      </c>
      <c r="D7" s="21" t="s">
        <v>60</v>
      </c>
      <c r="E7" s="17" t="s">
        <v>65</v>
      </c>
    </row>
    <row r="8" customFormat="false" ht="14.25" hidden="false" customHeight="true" outlineLevel="0" collapsed="false">
      <c r="A8" s="17" t="s">
        <v>586</v>
      </c>
      <c r="B8" s="16" t="s">
        <v>589</v>
      </c>
      <c r="C8" s="17" t="s">
        <v>590</v>
      </c>
      <c r="D8" s="21" t="s">
        <v>60</v>
      </c>
      <c r="E8" s="17" t="s">
        <v>65</v>
      </c>
    </row>
    <row r="9" customFormat="false" ht="14.25" hidden="false" customHeight="true" outlineLevel="0" collapsed="false">
      <c r="A9" s="17" t="s">
        <v>586</v>
      </c>
      <c r="B9" s="16" t="s">
        <v>591</v>
      </c>
      <c r="C9" s="17" t="s">
        <v>592</v>
      </c>
      <c r="D9" s="21" t="s">
        <v>60</v>
      </c>
      <c r="E9" s="17" t="s">
        <v>577</v>
      </c>
    </row>
    <row r="10" customFormat="false" ht="24.75" hidden="false" customHeight="true" outlineLevel="0" collapsed="false">
      <c r="A10" s="17" t="s">
        <v>259</v>
      </c>
      <c r="B10" s="16" t="s">
        <v>593</v>
      </c>
      <c r="C10" s="17" t="s">
        <v>594</v>
      </c>
      <c r="D10" s="21" t="s">
        <v>60</v>
      </c>
      <c r="E10" s="17" t="s">
        <v>577</v>
      </c>
    </row>
    <row r="11" customFormat="false" ht="14.25" hidden="false" customHeight="true" outlineLevel="0" collapsed="false">
      <c r="A11" s="17" t="s">
        <v>595</v>
      </c>
      <c r="B11" s="16" t="s">
        <v>596</v>
      </c>
      <c r="C11" s="17"/>
      <c r="D11" s="21" t="s">
        <v>60</v>
      </c>
      <c r="E11" s="17" t="s">
        <v>577</v>
      </c>
    </row>
    <row r="12" customFormat="false" ht="14.25" hidden="false" customHeight="true" outlineLevel="0" collapsed="false">
      <c r="A12" s="17" t="s">
        <v>595</v>
      </c>
      <c r="B12" s="16" t="s">
        <v>597</v>
      </c>
      <c r="C12" s="17" t="s">
        <v>598</v>
      </c>
      <c r="D12" s="21" t="s">
        <v>60</v>
      </c>
      <c r="E12" s="17" t="s">
        <v>577</v>
      </c>
    </row>
    <row r="13" customFormat="false" ht="14.25" hidden="false" customHeight="true" outlineLevel="0" collapsed="false">
      <c r="A13" s="17" t="s">
        <v>595</v>
      </c>
      <c r="B13" s="16" t="s">
        <v>599</v>
      </c>
      <c r="C13" s="17" t="s">
        <v>600</v>
      </c>
      <c r="D13" s="21" t="s">
        <v>60</v>
      </c>
      <c r="E13" s="17" t="s">
        <v>577</v>
      </c>
    </row>
    <row r="14" customFormat="false" ht="14.25" hidden="false" customHeight="true" outlineLevel="0" collapsed="false">
      <c r="A14" s="17" t="s">
        <v>595</v>
      </c>
      <c r="B14" s="16" t="s">
        <v>601</v>
      </c>
      <c r="C14" s="17" t="s">
        <v>602</v>
      </c>
      <c r="D14" s="21" t="s">
        <v>60</v>
      </c>
      <c r="E14" s="17" t="s">
        <v>577</v>
      </c>
    </row>
    <row r="15" customFormat="false" ht="24.75" hidden="false" customHeight="true" outlineLevel="0" collapsed="false">
      <c r="A15" s="17" t="s">
        <v>603</v>
      </c>
      <c r="B15" s="16" t="s">
        <v>603</v>
      </c>
      <c r="C15" s="17" t="s">
        <v>604</v>
      </c>
      <c r="D15" s="21" t="s">
        <v>60</v>
      </c>
      <c r="E15" s="17" t="s">
        <v>577</v>
      </c>
    </row>
    <row r="16" customFormat="false" ht="24.75" hidden="false" customHeight="true" outlineLevel="0" collapsed="false">
      <c r="A16" s="17" t="s">
        <v>605</v>
      </c>
      <c r="B16" s="16" t="s">
        <v>605</v>
      </c>
      <c r="C16" s="17" t="s">
        <v>606</v>
      </c>
      <c r="D16" s="21" t="s">
        <v>60</v>
      </c>
      <c r="E16" s="17" t="s">
        <v>65</v>
      </c>
    </row>
    <row r="17" customFormat="false" ht="37.5" hidden="false" customHeight="true" outlineLevel="0" collapsed="false">
      <c r="A17" s="17" t="s">
        <v>607</v>
      </c>
      <c r="B17" s="16" t="s">
        <v>608</v>
      </c>
      <c r="C17" s="17" t="s">
        <v>609</v>
      </c>
      <c r="D17" s="21" t="s">
        <v>60</v>
      </c>
      <c r="E17" s="17" t="s">
        <v>65</v>
      </c>
    </row>
    <row r="18" customFormat="false" ht="24.75" hidden="false" customHeight="true" outlineLevel="0" collapsed="false">
      <c r="A18" s="17" t="s">
        <v>607</v>
      </c>
      <c r="B18" s="16" t="s">
        <v>610</v>
      </c>
      <c r="C18" s="17" t="s">
        <v>611</v>
      </c>
      <c r="D18" s="21" t="s">
        <v>60</v>
      </c>
      <c r="E18" s="17" t="s">
        <v>65</v>
      </c>
    </row>
    <row r="19" customFormat="false" ht="14.25" hidden="false" customHeight="true" outlineLevel="0" collapsed="false">
      <c r="A19" s="17" t="s">
        <v>607</v>
      </c>
      <c r="B19" s="16" t="s">
        <v>612</v>
      </c>
      <c r="C19" s="17" t="s">
        <v>613</v>
      </c>
      <c r="D19" s="21" t="s">
        <v>60</v>
      </c>
      <c r="E19" s="17" t="s">
        <v>65</v>
      </c>
    </row>
    <row r="20" customFormat="false" ht="24.75" hidden="false" customHeight="true" outlineLevel="0" collapsed="false">
      <c r="A20" s="17" t="s">
        <v>607</v>
      </c>
      <c r="B20" s="16" t="s">
        <v>614</v>
      </c>
      <c r="C20" s="17" t="s">
        <v>615</v>
      </c>
      <c r="D20" s="21" t="s">
        <v>60</v>
      </c>
      <c r="E20" s="17" t="s">
        <v>294</v>
      </c>
    </row>
    <row r="21" customFormat="false" ht="24.75" hidden="false" customHeight="true" outlineLevel="0" collapsed="false">
      <c r="A21" s="17" t="s">
        <v>616</v>
      </c>
      <c r="B21" s="16" t="s">
        <v>617</v>
      </c>
      <c r="C21" s="17" t="s">
        <v>618</v>
      </c>
      <c r="D21" s="21" t="s">
        <v>619</v>
      </c>
      <c r="E21" s="17" t="s">
        <v>620</v>
      </c>
    </row>
    <row r="22" customFormat="false" ht="25.5" hidden="false" customHeight="true" outlineLevel="0" collapsed="false">
      <c r="A22" s="17" t="s">
        <v>621</v>
      </c>
      <c r="B22" s="16" t="s">
        <v>622</v>
      </c>
      <c r="C22" s="17" t="s">
        <v>623</v>
      </c>
      <c r="D22" s="21"/>
      <c r="E22" s="17" t="s">
        <v>577</v>
      </c>
    </row>
    <row r="23" customFormat="false" ht="23.25" hidden="false" customHeight="true" outlineLevel="0" collapsed="false">
      <c r="A23" s="17" t="s">
        <v>621</v>
      </c>
      <c r="B23" s="16" t="s">
        <v>624</v>
      </c>
      <c r="C23" s="17" t="s">
        <v>625</v>
      </c>
      <c r="D23" s="21"/>
      <c r="E23" s="17" t="s">
        <v>577</v>
      </c>
    </row>
    <row r="24" customFormat="false" ht="23.25" hidden="false" customHeight="true" outlineLevel="0" collapsed="false">
      <c r="A24" s="17" t="s">
        <v>621</v>
      </c>
      <c r="B24" s="16" t="s">
        <v>626</v>
      </c>
      <c r="C24" s="17" t="s">
        <v>627</v>
      </c>
      <c r="D24" s="21"/>
      <c r="E24" s="17" t="s">
        <v>628</v>
      </c>
    </row>
    <row r="25" customFormat="false" ht="99.75" hidden="false" customHeight="true" outlineLevel="0" collapsed="false">
      <c r="A25" s="17" t="s">
        <v>259</v>
      </c>
      <c r="B25" s="16" t="s">
        <v>629</v>
      </c>
      <c r="C25" s="17" t="s">
        <v>630</v>
      </c>
      <c r="D25" s="21" t="s">
        <v>60</v>
      </c>
      <c r="E25" s="17" t="s">
        <v>628</v>
      </c>
    </row>
    <row r="26" customFormat="false" ht="90.75" hidden="false" customHeight="true" outlineLevel="0" collapsed="false">
      <c r="A26" s="3" t="s">
        <v>631</v>
      </c>
      <c r="B26" s="29" t="s">
        <v>632</v>
      </c>
    </row>
    <row r="28" customFormat="false" ht="14.25" hidden="false" customHeight="true" outlineLevel="0" collapsed="false">
      <c r="A28" s="17" t="s">
        <v>633</v>
      </c>
      <c r="B28" s="16" t="s">
        <v>634</v>
      </c>
      <c r="C28" s="17" t="s">
        <v>635</v>
      </c>
      <c r="D28" s="21" t="s">
        <v>60</v>
      </c>
      <c r="E28" s="17" t="s">
        <v>636</v>
      </c>
    </row>
    <row r="29" customFormat="false" ht="14.25" hidden="false" customHeight="true" outlineLevel="0" collapsed="false">
      <c r="A29" s="17" t="s">
        <v>633</v>
      </c>
      <c r="B29" s="16" t="s">
        <v>637</v>
      </c>
      <c r="C29" s="17" t="s">
        <v>638</v>
      </c>
      <c r="D29" s="21" t="s">
        <v>60</v>
      </c>
      <c r="E29" s="17" t="s">
        <v>636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8" activeCellId="0" sqref="C28"/>
    </sheetView>
  </sheetViews>
  <sheetFormatPr defaultColWidth="8.6328125" defaultRowHeight="14.25" zeroHeight="false" outlineLevelRow="0" outlineLevelCol="0"/>
  <cols>
    <col collapsed="false" customWidth="true" hidden="false" outlineLevel="0" max="1" min="1" style="1" width="4"/>
    <col collapsed="false" customWidth="true" hidden="false" outlineLevel="0" max="2" min="2" style="1" width="80"/>
    <col collapsed="false" customWidth="true" hidden="false" outlineLevel="0" max="3" min="3" style="1" width="22"/>
    <col collapsed="false" customWidth="true" hidden="false" outlineLevel="0" max="4" min="4" style="1" width="40"/>
  </cols>
  <sheetData>
    <row r="1" customFormat="false" ht="14.25" hidden="false" customHeight="true" outlineLevel="0" collapsed="false">
      <c r="A1" s="27" t="s">
        <v>529</v>
      </c>
      <c r="B1" s="27" t="s">
        <v>639</v>
      </c>
      <c r="C1" s="27" t="s">
        <v>640</v>
      </c>
      <c r="D1" s="27" t="s">
        <v>628</v>
      </c>
    </row>
    <row r="2" customFormat="false" ht="24.75" hidden="false" customHeight="true" outlineLevel="0" collapsed="false">
      <c r="A2" s="17" t="n">
        <v>1</v>
      </c>
      <c r="B2" s="17" t="s">
        <v>641</v>
      </c>
      <c r="C2" s="17" t="s">
        <v>642</v>
      </c>
      <c r="D2" s="21" t="s">
        <v>60</v>
      </c>
    </row>
    <row r="3" customFormat="false" ht="14.25" hidden="false" customHeight="true" outlineLevel="0" collapsed="false">
      <c r="A3" s="17" t="n">
        <v>2</v>
      </c>
      <c r="B3" s="17" t="s">
        <v>643</v>
      </c>
      <c r="C3" s="17" t="s">
        <v>644</v>
      </c>
      <c r="D3" s="21" t="s">
        <v>645</v>
      </c>
    </row>
    <row r="4" customFormat="false" ht="14.25" hidden="false" customHeight="true" outlineLevel="0" collapsed="false">
      <c r="A4" s="17" t="n">
        <v>3</v>
      </c>
      <c r="B4" s="17" t="s">
        <v>646</v>
      </c>
      <c r="C4" s="17" t="s">
        <v>647</v>
      </c>
      <c r="D4" s="21" t="s">
        <v>648</v>
      </c>
    </row>
    <row r="5" customFormat="false" ht="24.75" hidden="false" customHeight="true" outlineLevel="0" collapsed="false">
      <c r="A5" s="17" t="n">
        <v>4</v>
      </c>
      <c r="B5" s="17" t="s">
        <v>649</v>
      </c>
      <c r="C5" s="17" t="s">
        <v>650</v>
      </c>
      <c r="D5" s="21" t="s">
        <v>651</v>
      </c>
    </row>
    <row r="6" customFormat="false" ht="24.75" hidden="false" customHeight="true" outlineLevel="0" collapsed="false">
      <c r="A6" s="17" t="n">
        <v>5</v>
      </c>
      <c r="B6" s="17" t="s">
        <v>652</v>
      </c>
      <c r="C6" s="17" t="s">
        <v>653</v>
      </c>
      <c r="D6" s="21" t="s">
        <v>654</v>
      </c>
    </row>
    <row r="7" customFormat="false" ht="14.25" hidden="false" customHeight="true" outlineLevel="0" collapsed="false">
      <c r="A7" s="17" t="n">
        <v>6</v>
      </c>
      <c r="B7" s="17" t="s">
        <v>655</v>
      </c>
      <c r="C7" s="17" t="s">
        <v>218</v>
      </c>
      <c r="D7" s="21" t="s">
        <v>656</v>
      </c>
    </row>
    <row r="8" customFormat="false" ht="24.75" hidden="false" customHeight="true" outlineLevel="0" collapsed="false">
      <c r="A8" s="17" t="n">
        <v>7</v>
      </c>
      <c r="B8" s="17" t="s">
        <v>657</v>
      </c>
      <c r="C8" s="17" t="s">
        <v>658</v>
      </c>
      <c r="D8" s="21" t="s">
        <v>659</v>
      </c>
    </row>
    <row r="9" customFormat="false" ht="14.25" hidden="false" customHeight="true" outlineLevel="0" collapsed="false">
      <c r="A9" s="17" t="n">
        <v>8</v>
      </c>
      <c r="B9" s="17" t="s">
        <v>660</v>
      </c>
      <c r="C9" s="17" t="s">
        <v>186</v>
      </c>
      <c r="D9" s="21" t="s">
        <v>661</v>
      </c>
    </row>
    <row r="10" customFormat="false" ht="24.75" hidden="false" customHeight="true" outlineLevel="0" collapsed="false">
      <c r="A10" s="17" t="n">
        <v>9</v>
      </c>
      <c r="B10" s="17" t="s">
        <v>662</v>
      </c>
      <c r="C10" s="17" t="s">
        <v>663</v>
      </c>
      <c r="D10" s="21" t="s">
        <v>664</v>
      </c>
    </row>
    <row r="11" customFormat="false" ht="37.5" hidden="false" customHeight="true" outlineLevel="0" collapsed="false">
      <c r="A11" s="17" t="n">
        <v>10</v>
      </c>
      <c r="B11" s="17" t="s">
        <v>665</v>
      </c>
      <c r="C11" s="17" t="s">
        <v>666</v>
      </c>
      <c r="D11" s="21" t="s">
        <v>667</v>
      </c>
    </row>
    <row r="12" customFormat="false" ht="14.25" hidden="false" customHeight="true" outlineLevel="0" collapsed="false">
      <c r="A12" s="17" t="n">
        <v>11</v>
      </c>
      <c r="B12" s="17" t="s">
        <v>668</v>
      </c>
      <c r="C12" s="17" t="s">
        <v>245</v>
      </c>
      <c r="D12" s="21" t="s">
        <v>669</v>
      </c>
    </row>
    <row r="13" customFormat="false" ht="24.75" hidden="false" customHeight="true" outlineLevel="0" collapsed="false">
      <c r="A13" s="17" t="n">
        <v>12</v>
      </c>
      <c r="B13" s="17" t="s">
        <v>670</v>
      </c>
      <c r="C13" s="17" t="s">
        <v>671</v>
      </c>
      <c r="D13" s="21" t="s">
        <v>672</v>
      </c>
    </row>
    <row r="14" customFormat="false" ht="24.75" hidden="false" customHeight="true" outlineLevel="0" collapsed="false">
      <c r="A14" s="17" t="n">
        <v>13</v>
      </c>
      <c r="B14" s="17" t="s">
        <v>673</v>
      </c>
      <c r="C14" s="17" t="s">
        <v>674</v>
      </c>
      <c r="D14" s="21" t="s">
        <v>675</v>
      </c>
    </row>
    <row r="15" customFormat="false" ht="14.25" hidden="false" customHeight="true" outlineLevel="0" collapsed="false">
      <c r="A15" s="17" t="n">
        <v>14</v>
      </c>
      <c r="B15" s="17" t="s">
        <v>676</v>
      </c>
      <c r="C15" s="17" t="s">
        <v>677</v>
      </c>
      <c r="D15" s="21" t="s">
        <v>678</v>
      </c>
    </row>
    <row r="16" customFormat="false" ht="14.25" hidden="false" customHeight="true" outlineLevel="0" collapsed="false">
      <c r="A16" s="17" t="n">
        <v>15</v>
      </c>
      <c r="B16" s="17" t="s">
        <v>679</v>
      </c>
      <c r="C16" s="17" t="s">
        <v>680</v>
      </c>
      <c r="D16" s="21" t="s">
        <v>681</v>
      </c>
    </row>
    <row r="17" customFormat="false" ht="14.25" hidden="false" customHeight="true" outlineLevel="0" collapsed="false">
      <c r="A17" s="17" t="n">
        <v>16</v>
      </c>
      <c r="B17" s="17" t="s">
        <v>682</v>
      </c>
      <c r="C17" s="17" t="s">
        <v>35</v>
      </c>
      <c r="D17" s="21" t="s">
        <v>683</v>
      </c>
    </row>
    <row r="18" customFormat="false" ht="14.25" hidden="false" customHeight="true" outlineLevel="0" collapsed="false">
      <c r="A18" s="17" t="n">
        <v>17</v>
      </c>
      <c r="B18" s="17" t="s">
        <v>684</v>
      </c>
      <c r="C18" s="17" t="s">
        <v>35</v>
      </c>
      <c r="D18" s="21" t="s">
        <v>685</v>
      </c>
    </row>
    <row r="19" customFormat="false" ht="24.75" hidden="false" customHeight="true" outlineLevel="0" collapsed="false">
      <c r="A19" s="17" t="n">
        <v>18</v>
      </c>
      <c r="B19" s="17" t="s">
        <v>686</v>
      </c>
      <c r="C19" s="17" t="s">
        <v>687</v>
      </c>
      <c r="D19" s="21" t="s">
        <v>688</v>
      </c>
    </row>
    <row r="20" customFormat="false" ht="23.25" hidden="false" customHeight="true" outlineLevel="0" collapsed="false">
      <c r="A20" s="17" t="n">
        <v>19</v>
      </c>
      <c r="B20" s="17" t="s">
        <v>689</v>
      </c>
      <c r="C20" s="17" t="s">
        <v>647</v>
      </c>
      <c r="D20" s="21" t="s">
        <v>690</v>
      </c>
    </row>
    <row r="21" customFormat="false" ht="23.25" hidden="false" customHeight="true" outlineLevel="0" collapsed="false">
      <c r="A21" s="17" t="n">
        <v>20</v>
      </c>
      <c r="B21" s="17" t="s">
        <v>691</v>
      </c>
      <c r="C21" s="17" t="s">
        <v>692</v>
      </c>
      <c r="D21" s="21" t="s">
        <v>693</v>
      </c>
    </row>
    <row r="22" customFormat="false" ht="14.25" hidden="false" customHeight="true" outlineLevel="0" collapsed="false">
      <c r="A22" s="17" t="n">
        <v>21</v>
      </c>
      <c r="B22" s="17" t="s">
        <v>694</v>
      </c>
      <c r="C22" s="17" t="s">
        <v>695</v>
      </c>
      <c r="D22" s="21" t="s">
        <v>696</v>
      </c>
    </row>
    <row r="23" customFormat="false" ht="14.25" hidden="false" customHeight="true" outlineLevel="0" collapsed="false">
      <c r="A23" s="17" t="n">
        <v>22</v>
      </c>
      <c r="B23" s="17" t="s">
        <v>697</v>
      </c>
      <c r="C23" s="17" t="s">
        <v>698</v>
      </c>
      <c r="D23" s="21"/>
    </row>
    <row r="24" customFormat="false" ht="14.25" hidden="false" customHeight="true" outlineLevel="0" collapsed="false">
      <c r="A24" s="17" t="n">
        <v>23</v>
      </c>
      <c r="B24" s="17" t="s">
        <v>699</v>
      </c>
      <c r="C24" s="17" t="s">
        <v>35</v>
      </c>
      <c r="D24" s="21"/>
    </row>
    <row r="25" customFormat="false" ht="14.25" hidden="false" customHeight="true" outlineLevel="0" collapsed="false">
      <c r="A25" s="17" t="n">
        <v>24</v>
      </c>
      <c r="B25" s="17" t="s">
        <v>700</v>
      </c>
      <c r="C25" s="17" t="s">
        <v>35</v>
      </c>
      <c r="D25" s="21" t="s">
        <v>701</v>
      </c>
    </row>
    <row r="26" customFormat="false" ht="14.25" hidden="false" customHeight="true" outlineLevel="0" collapsed="false">
      <c r="A26" s="17" t="n">
        <v>25</v>
      </c>
      <c r="B26" s="17" t="s">
        <v>702</v>
      </c>
      <c r="C26" s="17" t="s">
        <v>703</v>
      </c>
      <c r="D26" s="21"/>
    </row>
    <row r="27" customFormat="false" ht="14.25" hidden="false" customHeight="true" outlineLevel="0" collapsed="false">
      <c r="A27" s="17" t="n">
        <v>26</v>
      </c>
      <c r="B27" s="17" t="s">
        <v>704</v>
      </c>
      <c r="C27" s="17" t="s">
        <v>705</v>
      </c>
      <c r="D27" s="21" t="s">
        <v>706</v>
      </c>
    </row>
    <row r="28" customFormat="false" ht="14.25" hidden="false" customHeight="true" outlineLevel="0" collapsed="false">
      <c r="A28" s="17" t="n">
        <v>27</v>
      </c>
      <c r="B28" s="17" t="s">
        <v>707</v>
      </c>
      <c r="C28" s="17" t="s">
        <v>708</v>
      </c>
      <c r="D28" s="21"/>
    </row>
    <row r="29" customFormat="false" ht="14.25" hidden="false" customHeight="true" outlineLevel="0" collapsed="false">
      <c r="A29" s="17" t="n">
        <v>28</v>
      </c>
      <c r="B29" s="17" t="s">
        <v>709</v>
      </c>
      <c r="C29" s="17" t="s">
        <v>710</v>
      </c>
      <c r="D29" s="21"/>
    </row>
    <row r="30" customFormat="false" ht="14.25" hidden="false" customHeight="true" outlineLevel="0" collapsed="false">
      <c r="A30" s="17" t="n">
        <v>29</v>
      </c>
      <c r="B30" s="17" t="s">
        <v>711</v>
      </c>
      <c r="C30" s="17" t="s">
        <v>712</v>
      </c>
      <c r="D30" s="21"/>
    </row>
    <row r="31" customFormat="false" ht="14.25" hidden="false" customHeight="true" outlineLevel="0" collapsed="false">
      <c r="A31" s="17" t="n">
        <v>30</v>
      </c>
      <c r="B31" s="17" t="s">
        <v>713</v>
      </c>
      <c r="C31" s="17" t="s">
        <v>714</v>
      </c>
      <c r="D31" s="21"/>
    </row>
    <row r="32" customFormat="false" ht="14.25" hidden="false" customHeight="true" outlineLevel="0" collapsed="false">
      <c r="A32" s="17" t="n">
        <v>31</v>
      </c>
      <c r="B32" s="17" t="s">
        <v>715</v>
      </c>
      <c r="C32" s="17" t="s">
        <v>716</v>
      </c>
      <c r="D32" s="21"/>
    </row>
    <row r="33" customFormat="false" ht="14.25" hidden="false" customHeight="true" outlineLevel="0" collapsed="false">
      <c r="A33" s="17" t="n">
        <v>32</v>
      </c>
      <c r="B33" s="17" t="s">
        <v>717</v>
      </c>
      <c r="C33" s="17" t="s">
        <v>718</v>
      </c>
      <c r="D33" s="21"/>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2026-10-07T03:03:59Z</dcterms:created>
  <dc:creator>openpyxl</dc:creator>
  <dc:description/>
  <dc:language>en-US</dc:language>
  <cp:lastModifiedBy>Grant Sacco</cp:lastModifiedBy>
  <dcterms:modified xsi:type="dcterms:W3CDTF">2026-10-09T16:19:23Z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